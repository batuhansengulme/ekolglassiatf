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E37 - KALİTE YÖNETİM\PROSES\ÇALIŞMALAR\Yeni klasör\"/>
    </mc:Choice>
  </mc:AlternateContent>
  <xr:revisionPtr revIDLastSave="0" documentId="13_ncr:1_{9ECB7F8E-EE84-4548-94C9-223F226F9A08}" xr6:coauthVersionLast="47" xr6:coauthVersionMax="47" xr10:uidLastSave="{00000000-0000-0000-0000-000000000000}"/>
  <bookViews>
    <workbookView xWindow="-108" yWindow="-108" windowWidth="23256" windowHeight="12576" xr2:uid="{00000000-000D-0000-FFFF-FFFF00000000}" activeTab="0"/>
  </bookViews>
  <sheets>
    <sheet name="Gage R&amp;R Analizi" sheetId="1" r:id="rId1"/>
    <sheet name="Nitel (Attribute) MSA" sheetId="2" r:id="rId2"/>
  </sheets>
  <definedNames/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1" l="1"/>
  <c r="L20" i="1"/>
  <c r="K20" i="1"/>
  <c r="J20" i="1"/>
  <c r="I20" i="1"/>
  <c r="H20" i="1"/>
  <c r="G20" i="1"/>
  <c r="F20" i="1"/>
  <c r="E20" i="1"/>
  <c r="D20" i="1"/>
  <c r="C20" i="1"/>
  <c r="N19" i="1"/>
  <c r="N20" i="1" s="1"/>
  <c r="M19" i="1"/>
  <c r="N18" i="1"/>
  <c r="M18" i="1"/>
  <c r="N17" i="1"/>
  <c r="M17" i="1"/>
  <c r="M16" i="1"/>
  <c r="D23" i="1" s="1"/>
  <c r="L16" i="1"/>
  <c r="K16" i="1"/>
  <c r="J16" i="1"/>
  <c r="I16" i="1"/>
  <c r="H16" i="1"/>
  <c r="G16" i="1"/>
  <c r="F16" i="1"/>
  <c r="E16" i="1"/>
  <c r="D16" i="1"/>
  <c r="C16" i="1"/>
  <c r="N15" i="1"/>
  <c r="M15" i="1"/>
  <c r="N14" i="1"/>
  <c r="N16" i="1" s="1"/>
  <c r="M14" i="1"/>
  <c r="N13" i="1"/>
  <c r="M13" i="1"/>
  <c r="M12" i="1"/>
  <c r="L12" i="1"/>
  <c r="K12" i="1"/>
  <c r="J12" i="1"/>
  <c r="I12" i="1"/>
  <c r="H12" i="1"/>
  <c r="G12" i="1"/>
  <c r="F12" i="1"/>
  <c r="E12" i="1"/>
  <c r="D12" i="1"/>
  <c r="C12" i="1"/>
  <c r="N11" i="1"/>
  <c r="M11" i="1"/>
  <c r="N10" i="1"/>
  <c r="M10" i="1"/>
  <c r="N9" i="1"/>
  <c r="N12" i="1" s="1"/>
  <c r="M9" i="1"/>
  <c r="D22" i="1" l="1"/>
</calcChain>
</file>

<file path=xl/sharedStrings.xml><?xml version="1.0" encoding="utf-8"?>
<sst xmlns="http://schemas.openxmlformats.org/spreadsheetml/2006/main" count="153" uniqueCount="70">
  <si>
    <t>CAM PROSES HATTI - ÖLÇÜM SİSTEMLERİ ANALİZİ (MSA) FORMU</t>
  </si>
  <si>
    <t>Parça / Proses Adı:</t>
  </si>
  <si>
    <t>Analiz Tarihi:</t>
  </si>
  <si>
    <t>15.09.2026</t>
  </si>
  <si>
    <t>Değerlendiren:</t>
  </si>
  <si>
    <t>Kalite Mühendisi</t>
  </si>
  <si>
    <t>Ölçüm Cihazı Adı:</t>
  </si>
  <si>
    <t>Çözünürlük (Resolution):</t>
  </si>
  <si>
    <t>Parça Sayısı:</t>
  </si>
  <si>
    <t>10</t>
  </si>
  <si>
    <t>Cihaz Seri No / Kod:</t>
  </si>
  <si>
    <t>Tolerans Aralığı (USL-LSL):</t>
  </si>
  <si>
    <t>Operatör / Tekrarlama Sayısı:</t>
  </si>
  <si>
    <t>3 Operatör x 3 Tekrar</t>
  </si>
  <si>
    <t>ÖLÇÜM VERİ GİRİŞ TABLOSU (Gage R&amp;R - Çapraz Yöntem)</t>
  </si>
  <si>
    <t>Operatör</t>
  </si>
  <si>
    <t>Tekrar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</si>
  <si>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</si>
  <si>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</si>
  <si>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</si>
  <si>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</si>
  <si>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</si>
  <si>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</si>
  <si>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</si>
  <si>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</si>
  <si>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</si>
  <si>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</si>
  <si>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Ortalama</t>
  </si>
  <si>
    <t>Menzil (R)</t>
  </si>
  <si>
    <t>Operatör A</t>
  </si>
  <si>
    <t>1. Tekrar</t>
  </si>
  <si>
    <t>2. Tekrar</t>
  </si>
  <si>
    <t>3. Tekrar</t>
  </si>
  <si>
    <t>Operatör A Özet</t>
  </si>
  <si>
    <t>Operatör B</t>
  </si>
  <si>
    <t>Operatör B Özet</t>
  </si>
  <si>
    <t>Operatör C</t>
  </si>
  <si>
    <t>Operatör C Özet</t>
  </si>
  <si>
    <t>MSA GAGE R&amp;R ÖZET İSTATİSTİKLER VE DEĞERLENDİRME</t>
  </si>
  <si>
    <t>Toplam Ortalama Menzil (R-bar-bar):</t>
  </si>
  <si>
    <t>Mevcut %R&amp;R Değeri:</t>
  </si>
  <si>
    <t>Operatörler Arası Max Fark (X-diff):</t>
  </si>
  <si>
    <t>SİSTEM DURUMU:</t>
  </si>
  <si>
    <t>UYGUN / KABUL EDİLEBİLİR</t>
  </si>
  <si>
    <t>MSA Ölçüm Sistemi Kabul Kriterleri Kılavuzu:</t>
  </si>
  <si>
    <t>• %R&amp;R &lt; %10 ise: Ölçüm sistemi mükemmel, tamamen kabul edilebilir.</t>
  </si>
  <si>
    <t>• %10 ≤ %R&amp;R ≤ %30 ise: Ölçüm sistemi sınırda/koşullu kabul edilebilir (Uygulama kritikliği, cihaz maliyeti vb. değerlendirilir).</t>
  </si>
  <si>
    <t>• %R&amp;R &gt; %30 ise: Ölçüm sistemi YETERSİZ. Cihaz kalibrasyonu, operatör yetkinliği veya yöntem acilen gözden geçirilmelidir.</t>
  </si>
  <si>
    <t>CAM PROSES HATTI - NİTEL (GÖRSEL) ÖLÇÜM SİSTEMİ ANALİZİ FORMU</t>
  </si>
  <si>
    <t>Kontrol Edilen Kusur:</t>
  </si>
  <si>
    <t>Cam Yüzey Çiziği / Kenar Çapağı / Puslanma</t>
  </si>
  <si>
    <t>Yöntem:</t>
  </si>
  <si>
    <t>Işık Tüneli Altında Gözle Muayene</t>
  </si>
  <si>
    <t>Uyuşma Hedefi (Kappa):</t>
  </si>
  <si>
    <t>&gt; 0.75 (İyi Seviye)</t>
  </si>
  <si>
    <t>OPERATÖR KARŞILAŞTIRMA VE REFERANS VERİ GİRİŞİ (Geçer/Kalır Testi)</t>
  </si>
  <si>
    <t>Numune No</t>
  </si>
  <si>
    <t>Referans Standart</t>
  </si>
  <si>
    <t>Operatör A - T1</t>
  </si>
  <si>
    <t>Operatör A - T2</t>
  </si>
  <si>
    <t>Operatör B - T1</t>
  </si>
  <si>
    <t>Operatör B - T2</t>
  </si>
  <si>
    <t>Operatör C - T1</t>
  </si>
  <si>
    <t>Operatör C - T2</t>
  </si>
  <si>
    <t>Uyuşma Durumu</t>
  </si>
  <si>
    <t>OK</t>
  </si>
  <si>
    <t>TAM UYUMLU</t>
  </si>
  <si>
    <t>RED</t>
  </si>
  <si>
    <t>SAPMA VAR</t>
  </si>
  <si>
    <t>Not: Nitel MSA analizlerinde operatörlerin kendi içinde, birbirleri arasında ve uzman referansıyla tutarlılığı ölçülür. Kappa istatistiği hesaplanmalıdır.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</si>
</sst>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\4"/>
    <numFmt numFmtId="165" formatCode="0.0%"/>
    <numFmt numFmtId="166" formatCode="0.0000"/>
    <numFmt numFmtId="167" formatCode="0.00%"/>
    <numFmt numFmtId="168" formatCode="0"/>
    <numFmt numFmtId="169" formatCode="0.000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1"/>
      <color rgb="FF1F497D"/>
      <name val="Calibri"/>
    </font>
    <font>
      <b/>
      <sz val="11"/>
      <color rgb="FF2E7D32"/>
      <name val="Calibri"/>
    </font>
    <font>
      <b/>
      <sz val="10"/>
      <color rgb="FF2E7D32"/>
      <name val="Calibri"/>
    </font>
    <font>
      <b/>
      <sz val="10"/>
      <color rgb="FFC62828"/>
      <name val="Calibri"/>
    </font>
    <font>
      <i/>
      <sz val="9"/>
      <name val="Calibri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18364A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wrapText="1" shrinkToFit="0" vertical="top"/>
    </xf>
    <xf numFmtId="0" fontId="2" fillId="0" borderId="0" xfId="0" applyFont="1" applyAlignment="1">
      <alignment wrapText="1" shrinkToFit="0" vertical="top"/>
    </xf>
    <xf numFmtId="0" fontId="3" fillId="0" borderId="1" xfId="0" applyFont="1" applyBorder="1" applyAlignment="1">
      <alignment wrapText="1" shrinkToFit="0" vertical="top"/>
    </xf>
    <xf numFmtId="0" fontId="5" fillId="2" borderId="2" xfId="0" applyFont="1" applyFill="1" applyBorder="1" applyAlignment="1">
      <alignment horizontal="center" vertical="center" wrapText="1" shrinkToFit="0"/>
    </xf>
    <xf numFmtId="0" fontId="3" fillId="0" borderId="2" xfId="0" applyFont="1" applyBorder="1" applyAlignment="1">
      <alignment horizontal="center" vertical="center" wrapText="1" shrinkToFit="0"/>
    </xf>
    <xf numFmtId="2" fontId="3" fillId="0" borderId="2" xfId="0" applyNumberFormat="1" applyFont="1" applyBorder="1" applyAlignment="1">
      <alignment horizontal="center" vertical="center" wrapText="1" shrinkToFit="0"/>
    </xf>
    <xf numFmtId="2" fontId="2" fillId="3" borderId="2" xfId="0" applyNumberFormat="1" applyFont="1" applyFill="1" applyBorder="1" applyAlignment="1">
      <alignment horizontal="center" vertical="center" wrapText="1" shrinkToFit="0"/>
    </xf>
    <xf numFmtId="0" fontId="3" fillId="4" borderId="2" xfId="0" applyFont="1" applyFill="1" applyBorder="1" applyAlignment="1">
      <alignment horizontal="center" vertical="center" wrapText="1" shrinkToFit="0"/>
    </xf>
    <xf numFmtId="2" fontId="3" fillId="4" borderId="2" xfId="0" applyNumberFormat="1" applyFont="1" applyFill="1" applyBorder="1" applyAlignment="1">
      <alignment horizontal="center" vertical="center" wrapText="1" shrinkToFit="0"/>
    </xf>
    <xf numFmtId="164" fontId="6" fillId="0" borderId="0" xfId="0" applyNumberFormat="1" applyFont="1" applyAlignment="1">
      <alignment wrapText="1" shrinkToFit="0" vertical="top"/>
    </xf>
    <xf numFmtId="165" fontId="6" fillId="0" borderId="0" xfId="0" applyNumberFormat="1" applyFont="1" applyAlignment="1">
      <alignment wrapText="1" shrinkToFit="0" vertical="top"/>
    </xf>
    <xf numFmtId="0" fontId="7" fillId="0" borderId="0" xfId="0" applyFont="1" applyAlignment="1">
      <alignment wrapText="1" shrinkToFit="0" vertical="top"/>
    </xf>
    <xf numFmtId="0" fontId="3" fillId="0" borderId="0" xfId="0" applyFont="1" applyAlignment="1">
      <alignment wrapText="1" shrinkToFit="0" vertical="top"/>
    </xf>
    <xf numFmtId="0" fontId="8" fillId="0" borderId="2" xfId="0" applyFont="1" applyBorder="1" applyAlignment="1">
      <alignment horizontal="center" vertical="center" wrapText="1" shrinkToFit="0"/>
    </xf>
    <xf numFmtId="0" fontId="8" fillId="4" borderId="2" xfId="0" applyFont="1" applyFill="1" applyBorder="1" applyAlignment="1">
      <alignment horizontal="center" vertical="center" wrapText="1" shrinkToFit="0"/>
    </xf>
    <xf numFmtId="0" fontId="9" fillId="0" borderId="2" xfId="0" applyFont="1" applyBorder="1" applyAlignment="1">
      <alignment horizontal="center" vertical="center" wrapText="1" shrinkToFit="0"/>
    </xf>
    <xf numFmtId="0" fontId="10" fillId="0" borderId="0" xfId="0" applyFont="1" applyAlignment="1">
      <alignment wrapText="1" shrinkToFit="0" vertical="top"/>
    </xf>
    <xf numFmtId="0" fontId="2" fillId="3" borderId="2" xfId="0" applyFont="1" applyFill="1" applyBorder="1" applyAlignment="1">
      <alignment wrapText="1" shrinkToFit="0" vertical="top"/>
    </xf>
    <xf numFmtId="0" fontId="0" fillId="3" borderId="2" xfId="0" applyFill="1" applyBorder="1" applyAlignment="1">
      <alignment wrapText="1" shrinkToFit="0" vertical="top"/>
    </xf>
    <xf numFmtId="0" fontId="4" fillId="2" borderId="0" xfId="0" applyFont="1" applyFill="1" applyAlignment="1">
      <alignment horizontal="center" vertical="center" wrapText="1" shrinkToFit="0"/>
    </xf>
    <xf numFmtId="0" fontId="0" fillId="0" borderId="0" xfId="0" applyAlignment="1">
      <alignment wrapText="1" shrinkToFit="0" vertical="top"/>
    </xf>
    <xf numFmtId="0" fontId="2" fillId="0" borderId="2" xfId="0" applyFont="1" applyBorder="1" applyAlignment="1">
      <alignment horizontal="center" vertical="center" wrapText="1" shrinkToFit="0"/>
    </xf>
    <xf numFmtId="0" fontId="0" fillId="0" borderId="3" xfId="0" applyBorder="1" applyAlignment="1">
      <alignment wrapText="1" shrinkToFit="0" vertical="top"/>
    </xf>
    <xf numFmtId="0" fontId="0" fillId="0" borderId="4" xfId="0" applyBorder="1" applyAlignment="1">
      <alignment wrapText="1" shrinkToFit="0" vertical="top"/>
    </xf>
    <xf numFmtId="0" fontId="1" fillId="2" borderId="0" xfId="0" applyFont="1" applyFill="1" applyAlignment="1">
      <alignment horizontal="center" vertical="center" wrapText="1" shrinkToFit="0"/>
    </xf>
    <xf numFmtId="0" fontId="2" fillId="4" borderId="2" xfId="0" applyFont="1" applyFill="1" applyBorder="1" applyAlignment="1">
      <alignment horizontal="center" vertical="center" wrapText="1" shrinkToFit="0"/>
    </xf>
    <xf numFmtId="0" fontId="11" fillId="5" borderId="0" xfId="0" applyFont="1" applyAlignment="1" applyFill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0" borderId="0" xfId="0" applyFont="1" applyAlignment="1">
      <alignment vertical="top" wrapText="1" shrinkToFit="0"/>
    </xf>
    <xf numFmtId="166" fontId="3" fillId="0" borderId="2" xfId="0" applyNumberFormat="1" applyFont="1" applyBorder="1" applyAlignment="1">
      <alignment horizontal="center" vertical="center" wrapText="1" shrinkToFit="0"/>
    </xf>
    <xf numFmtId="166" fontId="2" fillId="3" borderId="2" xfId="0" applyNumberFormat="1" applyFont="1" applyFill="1" applyBorder="1" applyAlignment="1">
      <alignment horizontal="center" vertical="center" wrapText="1" shrinkToFit="0"/>
    </xf>
    <xf numFmtId="166" fontId="3" fillId="4" borderId="2" xfId="0" applyNumberFormat="1" applyFont="1" applyFill="1" applyBorder="1" applyAlignment="1">
      <alignment horizontal="center" vertical="center" wrapText="1" shrinkToFit="0"/>
    </xf>
    <xf numFmtId="166" fontId="0" fillId="0" borderId="0" xfId="0" applyNumberFormat="1" applyAlignment="1">
      <alignment wrapText="1" shrinkToFit="0" vertical="top"/>
    </xf>
    <xf numFmtId="166" fontId="6" fillId="0" borderId="0" xfId="0" applyNumberFormat="1" applyFont="1" applyAlignment="1">
      <alignment wrapText="1" shrinkToFit="0" vertical="top"/>
    </xf>
    <xf numFmtId="167" fontId="6" fillId="0" borderId="0" xfId="0" applyNumberFormat="1" applyFont="1" applyAlignment="1">
      <alignment wrapText="1" shrinkToFit="0" vertical="top"/>
    </xf>
    <xf numFmtId="167" fontId="0" fillId="0" borderId="0" xfId="0" applyNumberFormat="1" applyAlignment="1">
      <alignment wrapText="1" shrinkToFit="0" vertical="top"/>
    </xf>
    <xf numFmtId="168" fontId="0" fillId="0" borderId="0" xfId="0" applyNumberFormat="1" applyAlignment="1">
      <alignment wrapText="1" shrinkToFit="0" vertical="top"/>
    </xf>
    <xf numFmtId="169" fontId="0" fillId="0" borderId="0" xfId="0" applyNumberFormat="1" applyAlignment="1">
      <alignment wrapText="1" shrinkToFit="0" vertical="top"/>
    </xf>
    <xf numFmtId="0" fontId="0" fillId="0" borderId="0" xfId="0" applyAlignment="1">
      <alignment wrapText="1" shrinkToFit="0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dimension ref="A1:P38"/>
  <sheetViews>
    <sheetView tabSelected="1" workbookViewId="0">
      <selection activeCell="H10" sqref="H10"/>
    </sheetView>
  </sheetViews>
  <sheetFormatPr defaultRowHeight="14.4" x14ac:dyDescent="0.3"/>
  <cols>
    <col min="1" max="1" width="16" customWidth="1"/>
    <col min="2" max="2" width="12" customWidth="1"/>
    <col min="3" max="3" width="38" customWidth="1"/>
    <col min="4" max="7" width="11" customWidth="1"/>
    <col min="8" max="8" width="30" customWidth="1"/>
    <col min="9" max="9" width="11" customWidth="1"/>
    <col min="10" max="10" width="19" customWidth="1"/>
    <col min="11" max="11" width="27" customWidth="1"/>
    <col min="12" max="12" width="11" customWidth="1"/>
    <col min="13" max="14" width="12" customWidth="1"/>
    <col min="15" max="15" width="11" customWidth="1"/>
    <col min="16" max="16" width="24" customWidth="1"/>
    <col min="17" max="17" width="6.500" customWidth="1"/>
    <col min="18" max="18" width="6.500" customWidth="1"/>
  </cols>
  <sheetData>
    <row r="1" spans="1:18" ht="40.049999999999997" customHeight="1" x14ac:dyDescent="0.3">
      <c r="A1" s="24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3" spans="1:18" ht="19.95" customHeight="1" x14ac:dyDescent="0.3">
      <c r="A3" s="1" t="s">
        <v>1</v>
      </c>
      <c r="C3" s="2"/>
      <c r="H3" s="1" t="s">
        <v>2</v>
      </c>
      <c r="J3" s="2"/>
      <c r="N3" s="1" t="s">
        <v>4</v>
      </c>
      <c r="P3" s="2" t="s">
        <v>5</v>
      </c>
    </row>
    <row r="4" spans="1:18" ht="19.95" customHeight="1" x14ac:dyDescent="0.3">
      <c r="A4" s="1" t="s">
        <v>6</v>
      </c>
      <c r="C4" s="2"/>
      <c r="H4" s="1" t="s">
        <v>7</v>
      </c>
      <c r="J4" s="2"/>
      <c r="N4" s="1" t="s">
        <v>8</v>
      </c>
      <c r="P4" s="2" t="s">
        <v>9</v>
      </c>
    </row>
    <row r="5" spans="1:18" ht="89" customHeight="1" x14ac:dyDescent="0.3">
      <c r="A5" s="1" t="s">
        <v>10</v>
      </c>
      <c r="C5" s="2"/>
      <c r="H5" s="1" t="inlineStr">
        <is>
          <t xml:space="preserve">Tolerans aralığı (USL−LSL), J5:</t>
        </is>
      </c>
      <c r="J5" s="2"/>
      <c r="N5" s="1" t="s">
        <v>12</v>
      </c>
      <c r="P5" s="2" t="s">
        <v>13</v>
      </c>
    </row>
    <row r="7" spans="1:18" ht="19" customHeight="1" x14ac:dyDescent="0.3">
      <c r="A7" s="19" t="inlineStr">
        <is>
          <t xml:space="preserve">HAM VERİ — 10 PARÇA × 3 OPERATÖR × 3 TEKRAR; KAYNAK ÖRNEKLERİ, ÜRETİM ONAYI DEĞİLDİR</t>
        </is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</row>
    <row r="8" spans="1:18" ht="120" customHeight="1" x14ac:dyDescent="0.3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  <c r="L8" s="3" t="s">
        <v>26</v>
      </c>
      <c r="M8" s="3" t="s">
        <v>27</v>
      </c>
      <c r="N8" s="3" t="inlineStr">
        <is>
          <t xml:space="preserve">Parçalar arası menzil (bilgi)</t>
        </is>
      </c>
    </row>
    <row r="9" spans="1:18" ht="19.95" customHeight="1" x14ac:dyDescent="0.3">
      <c r="A9" s="21" t="s">
        <v>29</v>
      </c>
      <c r="B9" s="4" t="s">
        <v>30</v>
      </c>
      <c r="C9" s="29">
        <v>4.0199999999999996</v>
      </c>
      <c r="D9" s="29">
        <v>4.01</v>
      </c>
      <c r="E9" s="29">
        <v>3.99</v>
      </c>
      <c r="F9" s="29">
        <v>4.05</v>
      </c>
      <c r="G9" s="29">
        <v>3.98</v>
      </c>
      <c r="H9" s="29">
        <v>4</v>
      </c>
      <c r="I9" s="29">
        <v>4.03</v>
      </c>
      <c r="J9" s="29">
        <v>4.01</v>
      </c>
      <c r="K9" s="29">
        <v>3.97</v>
      </c>
      <c r="L9" s="29">
        <v>4.04</v>
      </c>
      <c r="M9" s="29">
        <f>AVERAGE(C9:L9)</f>
        <v>4.01</v>
      </c>
      <c r="N9" s="29">
        <f>MAX(C9:L9)-MIN(C9:L9)</f>
        <v>7.9999999999999627E-2</v>
      </c>
    </row>
    <row r="10" spans="1:18" ht="19.95" customHeight="1" x14ac:dyDescent="0.3">
      <c r="A10" s="22"/>
      <c r="B10" s="4" t="s">
        <v>31</v>
      </c>
      <c r="C10" s="29">
        <v>4.01</v>
      </c>
      <c r="D10" s="29">
        <v>4.0199999999999996</v>
      </c>
      <c r="E10" s="29">
        <v>3.98</v>
      </c>
      <c r="F10" s="29">
        <v>4.04</v>
      </c>
      <c r="G10" s="29">
        <v>3.99</v>
      </c>
      <c r="H10" s="29">
        <v>4.01</v>
      </c>
      <c r="I10" s="29">
        <v>4.0199999999999996</v>
      </c>
      <c r="J10" s="29">
        <v>4</v>
      </c>
      <c r="K10" s="29">
        <v>3.98</v>
      </c>
      <c r="L10" s="29">
        <v>4.03</v>
      </c>
      <c r="M10" s="29">
        <f>AVERAGE(C10:L10)</f>
        <v>4.0079999999999991</v>
      </c>
      <c r="N10" s="29">
        <f>MAX(C10:L10)-MIN(C10:L10)</f>
        <v>6.0000000000000053E-2</v>
      </c>
    </row>
    <row r="11" spans="1:18" ht="19.95" customHeight="1" x14ac:dyDescent="0.3">
      <c r="A11" s="23"/>
      <c r="B11" s="4" t="s">
        <v>32</v>
      </c>
      <c r="C11" s="29">
        <v>4.0199999999999996</v>
      </c>
      <c r="D11" s="29">
        <v>4.01</v>
      </c>
      <c r="E11" s="29">
        <v>3.99</v>
      </c>
      <c r="F11" s="29">
        <v>4.05</v>
      </c>
      <c r="G11" s="29">
        <v>3.98</v>
      </c>
      <c r="H11" s="29">
        <v>4</v>
      </c>
      <c r="I11" s="29">
        <v>4.0199999999999996</v>
      </c>
      <c r="J11" s="29">
        <v>4.01</v>
      </c>
      <c r="K11" s="29">
        <v>3.97</v>
      </c>
      <c r="L11" s="29">
        <v>4.04</v>
      </c>
      <c r="M11" s="29">
        <f>AVERAGE(C11:L11)</f>
        <v>4.0089999999999995</v>
      </c>
      <c r="N11" s="29">
        <f>MAX(C11:L11)-MIN(C11:L11)</f>
        <v>7.9999999999999627E-2</v>
      </c>
    </row>
    <row r="12" spans="1:18" ht="61" customHeight="1" x14ac:dyDescent="0.3">
      <c r="A12" s="17" t="s">
        <v>33</v>
      </c>
      <c r="B12" s="18"/>
      <c r="C12" s="30">
        <f t="shared" ref="C12:N12" si="0">AVERAGE(C9:C11)</f>
        <v>4.0166666666666666</v>
      </c>
      <c r="D12" s="30">
        <f t="shared" si="0"/>
        <v>4.0133333333333328</v>
      </c>
      <c r="E12" s="30">
        <f t="shared" si="0"/>
        <v>3.9866666666666668</v>
      </c>
      <c r="F12" s="30">
        <f t="shared" si="0"/>
        <v>4.0466666666666669</v>
      </c>
      <c r="G12" s="30">
        <f t="shared" si="0"/>
        <v>3.9833333333333338</v>
      </c>
      <c r="H12" s="30">
        <f t="shared" si="0"/>
        <v>4.003333333333333</v>
      </c>
      <c r="I12" s="30">
        <f t="shared" si="0"/>
        <v>4.0233333333333334</v>
      </c>
      <c r="J12" s="30">
        <f t="shared" si="0"/>
        <v>4.0066666666666668</v>
      </c>
      <c r="K12" s="30">
        <f t="shared" si="0"/>
        <v>3.9733333333333332</v>
      </c>
      <c r="L12" s="30">
        <f t="shared" si="0"/>
        <v>4.0366666666666662</v>
      </c>
      <c r="M12" s="30">
        <f t="shared" si="0"/>
        <v>4.0089999999999995</v>
      </c>
      <c r="N12" s="30">
        <f>IF(COUNT(C9:L11)&lt;&gt;30,"",AVERAGE((MAX(C9:C11)-MIN(C9:C11)),(MAX(D9:D11)-MIN(D9:D11)),(MAX(E9:E11)-MIN(E9:E11)),(MAX(F9:F11)-MIN(F9:F11)),(MAX(G9:G11)-MIN(G9:G11)),(MAX(H9:H11)-MIN(H9:H11)),(MAX(I9:I11)-MIN(I9:I11)),(MAX(J9:J11)-MIN(J9:J11)),(MAX(K9:K11)-MIN(K9:K11)),(MAX(L9:L11)-MIN(L9:L11))))</f>
      </c>
    </row>
    <row r="13" spans="1:18" ht="19.95" customHeight="1" x14ac:dyDescent="0.3">
      <c r="A13" s="25" t="s">
        <v>34</v>
      </c>
      <c r="B13" s="7" t="s">
        <v>30</v>
      </c>
      <c r="C13" s="31">
        <v>4.03</v>
      </c>
      <c r="D13" s="31">
        <v>4.0199999999999996</v>
      </c>
      <c r="E13" s="31">
        <v>4</v>
      </c>
      <c r="F13" s="31">
        <v>4.04</v>
      </c>
      <c r="G13" s="31">
        <v>3.99</v>
      </c>
      <c r="H13" s="31">
        <v>4.01</v>
      </c>
      <c r="I13" s="31">
        <v>4.04</v>
      </c>
      <c r="J13" s="31">
        <v>4.0199999999999996</v>
      </c>
      <c r="K13" s="31">
        <v>3.98</v>
      </c>
      <c r="L13" s="31">
        <v>4.05</v>
      </c>
      <c r="M13" s="31">
        <f>AVERAGE(C13:L13)</f>
        <v>4.0179999999999989</v>
      </c>
      <c r="N13" s="31">
        <f>MAX(C13:L13)-MIN(C13:L13)</f>
        <v>6.999999999999984E-2</v>
      </c>
    </row>
    <row r="14" spans="1:18" ht="19.95" customHeight="1" x14ac:dyDescent="0.3">
      <c r="A14" s="22"/>
      <c r="B14" s="7" t="s">
        <v>31</v>
      </c>
      <c r="C14" s="31">
        <v>4.0199999999999996</v>
      </c>
      <c r="D14" s="31">
        <v>4.01</v>
      </c>
      <c r="E14" s="31">
        <v>3.99</v>
      </c>
      <c r="F14" s="31">
        <v>4.05</v>
      </c>
      <c r="G14" s="31">
        <v>3.98</v>
      </c>
      <c r="H14" s="31">
        <v>4</v>
      </c>
      <c r="I14" s="31">
        <v>4.03</v>
      </c>
      <c r="J14" s="31">
        <v>4.01</v>
      </c>
      <c r="K14" s="31">
        <v>3.97</v>
      </c>
      <c r="L14" s="31">
        <v>4.04</v>
      </c>
      <c r="M14" s="31">
        <f>AVERAGE(C14:L14)</f>
        <v>4.01</v>
      </c>
      <c r="N14" s="31">
        <f>MAX(C14:L14)-MIN(C14:L14)</f>
        <v>7.9999999999999627E-2</v>
      </c>
    </row>
    <row r="15" spans="1:18" ht="19.95" customHeight="1" x14ac:dyDescent="0.3">
      <c r="A15" s="23"/>
      <c r="B15" s="7" t="s">
        <v>32</v>
      </c>
      <c r="C15" s="31">
        <v>4.03</v>
      </c>
      <c r="D15" s="31">
        <v>4.0199999999999996</v>
      </c>
      <c r="E15" s="31">
        <v>4</v>
      </c>
      <c r="F15" s="31">
        <v>4.04</v>
      </c>
      <c r="G15" s="31">
        <v>3.99</v>
      </c>
      <c r="H15" s="31">
        <v>4.01</v>
      </c>
      <c r="I15" s="31">
        <v>4.03</v>
      </c>
      <c r="J15" s="31">
        <v>4.0199999999999996</v>
      </c>
      <c r="K15" s="31">
        <v>3.98</v>
      </c>
      <c r="L15" s="31">
        <v>4.05</v>
      </c>
      <c r="M15" s="31">
        <f>AVERAGE(C15:L15)</f>
        <v>4.0169999999999995</v>
      </c>
      <c r="N15" s="31">
        <f>MAX(C15:L15)-MIN(C15:L15)</f>
        <v>6.999999999999984E-2</v>
      </c>
    </row>
    <row r="16" spans="1:18" ht="61" customHeight="1" x14ac:dyDescent="0.3">
      <c r="A16" s="17" t="s">
        <v>35</v>
      </c>
      <c r="B16" s="18"/>
      <c r="C16" s="30">
        <f t="shared" ref="C16:N16" si="1">AVERAGE(C13:C15)</f>
        <v>4.0266666666666673</v>
      </c>
      <c r="D16" s="30">
        <f t="shared" si="1"/>
        <v>4.0166666666666666</v>
      </c>
      <c r="E16" s="30">
        <f t="shared" si="1"/>
        <v>3.9966666666666666</v>
      </c>
      <c r="F16" s="30">
        <f t="shared" si="1"/>
        <v>4.043333333333333</v>
      </c>
      <c r="G16" s="30">
        <f t="shared" si="1"/>
        <v>3.9866666666666668</v>
      </c>
      <c r="H16" s="30">
        <f t="shared" si="1"/>
        <v>4.0066666666666668</v>
      </c>
      <c r="I16" s="30">
        <f t="shared" si="1"/>
        <v>4.0333333333333341</v>
      </c>
      <c r="J16" s="30">
        <f t="shared" si="1"/>
        <v>4.0166666666666666</v>
      </c>
      <c r="K16" s="30">
        <f t="shared" si="1"/>
        <v>3.9766666666666666</v>
      </c>
      <c r="L16" s="30">
        <f t="shared" si="1"/>
        <v>4.0466666666666669</v>
      </c>
      <c r="M16" s="30">
        <f t="shared" si="1"/>
        <v>4.0149999999999997</v>
      </c>
      <c r="N16" s="30">
        <f>IF(COUNT(C13:L15)&lt;&gt;30,"",AVERAGE((MAX(C13:C15)-MIN(C13:C15)),(MAX(D13:D15)-MIN(D13:D15)),(MAX(E13:E15)-MIN(E13:E15)),(MAX(F13:F15)-MIN(F13:F15)),(MAX(G13:G15)-MIN(G13:G15)),(MAX(H13:H15)-MIN(H13:H15)),(MAX(I13:I15)-MIN(I13:I15)),(MAX(J13:J15)-MIN(J13:J15)),(MAX(K13:K15)-MIN(K13:K15)),(MAX(L13:L15)-MIN(L13:L15))))</f>
      </c>
    </row>
    <row r="17" spans="1:14" ht="19.95" customHeight="1" x14ac:dyDescent="0.3">
      <c r="A17" s="21" t="s">
        <v>36</v>
      </c>
      <c r="B17" s="4" t="s">
        <v>30</v>
      </c>
      <c r="C17" s="29">
        <v>4.01</v>
      </c>
      <c r="D17" s="29">
        <v>4</v>
      </c>
      <c r="E17" s="29">
        <v>3.98</v>
      </c>
      <c r="F17" s="29">
        <v>4.03</v>
      </c>
      <c r="G17" s="29">
        <v>3.97</v>
      </c>
      <c r="H17" s="29">
        <v>3.99</v>
      </c>
      <c r="I17" s="29">
        <v>4.0199999999999996</v>
      </c>
      <c r="J17" s="29">
        <v>4</v>
      </c>
      <c r="K17" s="29">
        <v>3.96</v>
      </c>
      <c r="L17" s="29">
        <v>4.03</v>
      </c>
      <c r="M17" s="29">
        <f>AVERAGE(C17:L17)</f>
        <v>3.9989999999999997</v>
      </c>
      <c r="N17" s="29">
        <f>MAX(C17:L17)-MIN(C17:L17)</f>
        <v>7.0000000000000284E-2</v>
      </c>
    </row>
    <row r="18" spans="1:14" ht="19.95" customHeight="1" x14ac:dyDescent="0.3">
      <c r="A18" s="22"/>
      <c r="B18" s="4" t="s">
        <v>31</v>
      </c>
      <c r="C18" s="29">
        <v>4.0199999999999996</v>
      </c>
      <c r="D18" s="29">
        <v>4.01</v>
      </c>
      <c r="E18" s="29">
        <v>3.99</v>
      </c>
      <c r="F18" s="29">
        <v>4.04</v>
      </c>
      <c r="G18" s="29">
        <v>3.98</v>
      </c>
      <c r="H18" s="29">
        <v>4</v>
      </c>
      <c r="I18" s="29">
        <v>4.0199999999999996</v>
      </c>
      <c r="J18" s="29">
        <v>4.01</v>
      </c>
      <c r="K18" s="29">
        <v>3.97</v>
      </c>
      <c r="L18" s="29">
        <v>4.0199999999999996</v>
      </c>
      <c r="M18" s="29">
        <f>AVERAGE(C18:L18)</f>
        <v>4.0060000000000002</v>
      </c>
      <c r="N18" s="29">
        <f>MAX(C18:L18)-MIN(C18:L18)</f>
        <v>6.999999999999984E-2</v>
      </c>
    </row>
    <row r="19" spans="1:14" ht="19.95" customHeight="1" x14ac:dyDescent="0.3">
      <c r="A19" s="23"/>
      <c r="B19" s="4" t="s">
        <v>32</v>
      </c>
      <c r="C19" s="29">
        <v>4.01</v>
      </c>
      <c r="D19" s="29">
        <v>4.01</v>
      </c>
      <c r="E19" s="29">
        <v>3.98</v>
      </c>
      <c r="F19" s="29">
        <v>4.03</v>
      </c>
      <c r="G19" s="29">
        <v>3.97</v>
      </c>
      <c r="H19" s="29">
        <v>3.99</v>
      </c>
      <c r="I19" s="29">
        <v>4.03</v>
      </c>
      <c r="J19" s="29">
        <v>4</v>
      </c>
      <c r="K19" s="29">
        <v>3.96</v>
      </c>
      <c r="L19" s="29">
        <v>4.03</v>
      </c>
      <c r="M19" s="29">
        <f>AVERAGE(C19:L19)</f>
        <v>4.0010000000000003</v>
      </c>
      <c r="N19" s="29">
        <f>MAX(C19:L19)-MIN(C19:L19)</f>
        <v>7.0000000000000284E-2</v>
      </c>
    </row>
    <row r="20" spans="1:14" ht="61" customHeight="1" x14ac:dyDescent="0.3">
      <c r="A20" s="17" t="s">
        <v>37</v>
      </c>
      <c r="B20" s="18"/>
      <c r="C20" s="30">
        <f t="shared" ref="C20:N20" si="2">AVERAGE(C17:C19)</f>
        <v>4.0133333333333328</v>
      </c>
      <c r="D20" s="30">
        <f t="shared" si="2"/>
        <v>4.0066666666666668</v>
      </c>
      <c r="E20" s="30">
        <f t="shared" si="2"/>
        <v>3.9833333333333338</v>
      </c>
      <c r="F20" s="30">
        <f t="shared" si="2"/>
        <v>4.0333333333333341</v>
      </c>
      <c r="G20" s="30">
        <f t="shared" si="2"/>
        <v>3.9733333333333332</v>
      </c>
      <c r="H20" s="30">
        <f t="shared" si="2"/>
        <v>3.9933333333333336</v>
      </c>
      <c r="I20" s="30">
        <f t="shared" si="2"/>
        <v>4.0233333333333334</v>
      </c>
      <c r="J20" s="30">
        <f t="shared" si="2"/>
        <v>4.003333333333333</v>
      </c>
      <c r="K20" s="30">
        <f t="shared" si="2"/>
        <v>3.9633333333333334</v>
      </c>
      <c r="L20" s="30">
        <f t="shared" si="2"/>
        <v>4.0266666666666673</v>
      </c>
      <c r="M20" s="30">
        <f t="shared" si="2"/>
        <v>4.0019999999999998</v>
      </c>
      <c r="N20" s="30">
        <f>IF(COUNT(C17:L19)&lt;&gt;30,"",AVERAGE((MAX(C17:C19)-MIN(C17:C19)),(MAX(D17:D19)-MIN(D17:D19)),(MAX(E17:E19)-MIN(E17:E19)),(MAX(F17:F19)-MIN(F17:F19)),(MAX(G17:G19)-MIN(G17:G19)),(MAX(H17:H19)-MIN(H17:H19)),(MAX(I17:I19)-MIN(I17:I19)),(MAX(J17:J19)-MIN(J17:J19)),(MAX(K17:K19)-MIN(K17:K19)),(MAX(L17:L19)-MIN(L17:L19))))</f>
      </c>
    </row>
    <row r="21" spans="1:14" ht="25.05" customHeight="1" x14ac:dyDescent="0.3">
      <c r="A21" s="19" t="s">
        <v>38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x14ac:dyDescent="0.3" ht="89" customHeight="1">
      <c r="A22" s="1" t="s">
        <v>39</v>
      </c>
      <c r="D22" s="33">
        <f>IF(COUNT(N12,N16,N20)&lt;&gt;3,"",AVERAGE(N12,N16,N20))</f>
      </c>
      <c r="H22" s="1" t="inlineStr">
        <is>
          <t xml:space="preserve">%GRR (çalışma varyasyonu)</t>
        </is>
      </c>
      <c r="K22" s="34">
        <f>IFERROR(D32/D34,"")</f>
      </c>
    </row>
    <row r="23" spans="1:14" x14ac:dyDescent="0.3" ht="103" customHeight="1">
      <c r="A23" s="1" t="s">
        <v>41</v>
      </c>
      <c r="D23" s="33">
        <f>IF(COUNT(C9:L11,C13:L15,C17:L19)&lt;&gt;90,"",MAX(M12,M16,M20)-MIN(M12,M16,M20))</f>
      </c>
      <c r="H23" s="1" t="s">
        <v>42</v>
      </c>
      <c r="K23" s="11" t="inlineStr">
        <is>
          <t xml:space="preserve">Müşteri metodu ve kayıtlı kriterle yetkili değerlendirme gerekir.</t>
        </is>
      </c>
    </row>
    <row r="25" spans="1:14" x14ac:dyDescent="0.3" ht="159" customHeight="1">
      <c r="A25" s="1" t="inlineStr">
        <is>
          <t xml:space="preserve">ORTALAMA–MENZİL YÖNTEMİ; ÇAPRAZ, DENGELİ 10 × 3 × 3 ÇALIŞMA</t>
        </is>
      </c>
    </row>
    <row r="26" spans="1:14" x14ac:dyDescent="0.3" ht="201" customHeight="1">
      <c r="A26" s="12" t="inlineStr">
        <is>
          <t xml:space="preserve">EV=R̄/1,693; AV=√max(0;(Xdiff/1,693)²−EV²/(10×3)); parça menzili 10 parça ortalamasından alınır.</t>
        </is>
      </c>
    </row>
    <row r="27" spans="1:14" x14ac:dyDescent="0.3" ht="270.5" customHeight="1">
      <c r="A27" s="12" t="inlineStr">
        <is>
          <t xml:space="preserve">Bu yöntem etkileşimi ayrı tahmin etmez. Müşteri ANOVA veya farklı yöntem istiyorsa bu sonuç onun yerine kullanılamaz.</t>
        </is>
      </c>
    </row>
    <row r="28" spans="1:14" x14ac:dyDescent="0.3" ht="354.5" customHeight="1">
      <c r="A28" s="12" t="inlineStr">
        <is>
          <t xml:space="preserve">%çalışma varyasyonu ile %tolerans farklıdır. Kabul; geçerli müşteri kriteri, kullanım amacı ve yetkili değerlendirmeyle verilir.</t>
        </is>
      </c>
    </row>
    <row r="29" ht="18" customHeight="1">
      <c r="C29" s="32">
        <f>IF(COUNT(C9:C11,C13:C15,C17:C19)&lt;&gt;9,"",AVERAGE(C9:C11,C13:C15,C17:C19))</f>
      </c>
      <c r="D29" s="32">
        <f>IF(COUNT(D9:D11,D13:D15,D17:D19)&lt;&gt;9,"",AVERAGE(D9:D11,D13:D15,D17:D19))</f>
      </c>
      <c r="E29" s="32">
        <f>IF(COUNT(E9:E11,E13:E15,E17:E19)&lt;&gt;9,"",AVERAGE(E9:E11,E13:E15,E17:E19))</f>
      </c>
      <c r="F29" s="32">
        <f>IF(COUNT(F9:F11,F13:F15,F17:F19)&lt;&gt;9,"",AVERAGE(F9:F11,F13:F15,F17:F19))</f>
      </c>
      <c r="G29" s="32">
        <f>IF(COUNT(G9:G11,G13:G15,G17:G19)&lt;&gt;9,"",AVERAGE(G9:G11,G13:G15,G17:G19))</f>
      </c>
      <c r="H29" s="32">
        <f>IF(COUNT(H9:H11,H13:H15,H17:H19)&lt;&gt;9,"",AVERAGE(H9:H11,H13:H15,H17:H19))</f>
      </c>
      <c r="I29" s="32">
        <f>IF(COUNT(I9:I11,I13:I15,I17:I19)&lt;&gt;9,"",AVERAGE(I9:I11,I13:I15,I17:I19))</f>
      </c>
      <c r="J29" s="32">
        <f>IF(COUNT(J9:J11,J13:J15,J17:J19)&lt;&gt;9,"",AVERAGE(J9:J11,J13:J15,J17:J19))</f>
      </c>
      <c r="K29" s="32">
        <f>IF(COUNT(K9:K11,K13:K15,K17:K19)&lt;&gt;9,"",AVERAGE(K9:K11,K13:K15,K17:K19))</f>
      </c>
      <c r="L29" s="32">
        <f>IF(COUNT(L9:L11,L13:L15,L17:L19)&lt;&gt;9,"",AVERAGE(L9:L11,L13:L15,L17:L19))</f>
      </c>
    </row>
    <row r="30" ht="61" customHeight="1">
      <c r="A30" t="inlineStr">
        <is>
          <t xml:space="preserve">EV — tekrar edilebilirlik σ</t>
        </is>
      </c>
      <c r="D30" s="32">
        <f>IF(COUNT(D22)=0,"",D22/1.693)</f>
      </c>
    </row>
    <row r="31" ht="61" customHeight="1">
      <c r="A31" t="inlineStr">
        <is>
          <t xml:space="preserve">AV — operatörler arası σ</t>
        </is>
      </c>
      <c r="D31" s="32">
        <f>IF(COUNT(D23,D30)&lt;2,"",SQRT(MAX(0,(D23/1.693)^2-D30^2/30)))</f>
      </c>
    </row>
    <row r="32" ht="47" customHeight="1">
      <c r="A32" t="inlineStr">
        <is>
          <t xml:space="preserve">GRR — toplam ölçüm σ</t>
        </is>
      </c>
      <c r="D32" s="32">
        <f>IF(COUNT(D30:D31)&lt;2,"",SQRT(SUMSQ(D30:D31)))</f>
      </c>
    </row>
    <row r="33" ht="61" customHeight="1">
      <c r="A33" t="inlineStr">
        <is>
          <t xml:space="preserve">PV — parçalar arası σ</t>
        </is>
      </c>
      <c r="D33" s="32">
        <f>IF(COUNT(C9:L11,C13:L15,C17:L19)&lt;&gt;90,"",(MAX(C29:L29)-MIN(C29:L29))/3.078)</f>
      </c>
    </row>
    <row r="34" ht="47" customHeight="1">
      <c r="A34" t="inlineStr">
        <is>
          <t xml:space="preserve">TV — toplam σ</t>
        </is>
      </c>
      <c r="D34" s="32">
        <f>IF(COUNT(D32:D33)&lt;2,"",SQRT(SUMSQ(D32:D33)))</f>
      </c>
    </row>
    <row r="35" ht="61" customHeight="1">
      <c r="A35" t="inlineStr">
        <is>
          <t xml:space="preserve">%GRR / tolerans (J5 girişi)</t>
        </is>
      </c>
      <c r="D35" s="35">
        <f>IFERROR(IF(AND(ISNUMBER(J5),J5&gt;0),6*D32/J5,""),"")</f>
      </c>
    </row>
    <row r="36" ht="89" customHeight="1">
      <c r="A36" t="inlineStr">
        <is>
          <t xml:space="preserve">ndc — ayırt edilebilir kategori</t>
        </is>
      </c>
      <c r="D36" s="36">
        <f>IFERROR(IF(D32&gt;0,INT(1.41*D33/D32),""),"")</f>
      </c>
    </row>
    <row r="38" ht="159" customHeight="1">
      <c r="A38" t="inlineStr">
        <is>
          <t xml:space="preserve">Kabul dayanağı / metot sürümü / kriter ve yetkili karar kaydı:</t>
        </is>
      </c>
    </row>
  </sheetData>
  <mergeCells count="9">
    <mergeCell ref="A1:R1"/>
    <mergeCell ref="A9:A11"/>
    <mergeCell ref="A13:A15"/>
    <mergeCell ref="A12:B12"/>
    <mergeCell ref="A20:B20"/>
    <mergeCell ref="A16:B16"/>
    <mergeCell ref="A7:R7"/>
    <mergeCell ref="A17:A19"/>
    <mergeCell ref="A21:N21"/>
  </mergeCells>
  <pageMargins left="0.75" right="0.75" top="1" bottom="1" header="0.5" footer="0.5"/>
  <headerFooter differentOddEven="0" differentFirst="0" scaleWithDoc="0" alignWithMargins="1">
    <oddHeader>&amp;L&amp;"Arial,Bold"&amp;11EKG-KLT-FRM-29&amp;C&amp;"Arial,Regular"&amp;11Cam Hattı Ölçüm Sistemleri Analizi Formları - MSA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/>
  <dimension ref="A1:I29"/>
  <sheetViews>
    <sheetView workbookViewId="0"/>
  </sheetViews>
  <sheetFormatPr defaultRowHeight="14.4" x14ac:dyDescent="0.3"/>
  <cols>
    <col min="1" max="1" width="12" customWidth="1"/>
    <col min="2" max="2" width="18" customWidth="1"/>
    <col min="3" max="3" width="45" customWidth="1"/>
    <col min="4" max="7" width="18" customWidth="1"/>
    <col min="8" max="8" width="25" customWidth="1"/>
    <col min="9" max="9" width="16" customWidth="1"/>
    <col min="10" max="10" width="9.151" customWidth="1"/>
    <col min="11" max="11" width="9.151" customWidth="1"/>
  </cols>
  <sheetData>
    <row r="1" spans="1:11" ht="40.049999999999997" customHeight="1" x14ac:dyDescent="0.3">
      <c r="A1" s="24" t="s">
        <v>48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ht="19.95" customHeight="1" x14ac:dyDescent="0.3">
      <c r="A3" s="1" t="s">
        <v>49</v>
      </c>
      <c r="C3" s="2" t="s">
        <v>50</v>
      </c>
      <c r="H3" s="1" t="s">
        <v>2</v>
      </c>
      <c r="I3" s="2" t="s">
        <v>3</v>
      </c>
    </row>
    <row r="4" spans="1:11" ht="75" customHeight="1" x14ac:dyDescent="0.3">
      <c r="A4" s="1" t="s">
        <v>51</v>
      </c>
      <c r="C4" s="2" t="s">
        <v>52</v>
      </c>
      <c r="H4" s="1" t="inlineStr">
        <is>
          <t xml:space="preserve">Kriter / kaynak:</t>
        </is>
      </c>
      <c r="I4" s="2" t="inlineStr">
        <is>
          <t xml:space="preserve">Onaylı müşteri/çalışma planından alınır</t>
        </is>
      </c>
    </row>
    <row r="6" spans="1:11" ht="25.05" customHeight="1" x14ac:dyDescent="0.3">
      <c r="A6" s="19" t="s">
        <v>55</v>
      </c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1" ht="25.05" customHeight="1" x14ac:dyDescent="0.3">
      <c r="A7" s="3" t="s">
        <v>56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3" t="s">
        <v>63</v>
      </c>
      <c r="I7" s="3" t="s">
        <v>64</v>
      </c>
    </row>
    <row r="8" spans="1:11" ht="19" customHeight="1" x14ac:dyDescent="0.3">
      <c r="A8" s="4">
        <v>1</v>
      </c>
      <c r="B8" s="4" t="s">
        <v>65</v>
      </c>
      <c r="C8" s="4" t="s">
        <v>65</v>
      </c>
      <c r="D8" s="4" t="s">
        <v>65</v>
      </c>
      <c r="E8" s="4" t="s">
        <v>65</v>
      </c>
      <c r="F8" s="4" t="s">
        <v>65</v>
      </c>
      <c r="G8" s="4" t="s">
        <v>65</v>
      </c>
      <c r="H8" s="4" t="s">
        <v>65</v>
      </c>
      <c r="I8" s="13">
        <f>IF(COUNTIF(B8:H8,"OK")+COUNTIF(B8:H8,"RED")&lt;&gt;7,"",IF(COUNTIF(C8:H8,B8)=6,"TAM UYUMLU","SAPMA VAR"))</f>
      </c>
    </row>
    <row r="9" spans="1:11" ht="19" customHeight="1" x14ac:dyDescent="0.3">
      <c r="A9" s="7">
        <v>2</v>
      </c>
      <c r="B9" s="7" t="s">
        <v>67</v>
      </c>
      <c r="C9" s="7" t="s">
        <v>67</v>
      </c>
      <c r="D9" s="7" t="s">
        <v>67</v>
      </c>
      <c r="E9" s="7" t="s">
        <v>67</v>
      </c>
      <c r="F9" s="7" t="s">
        <v>67</v>
      </c>
      <c r="G9" s="7" t="s">
        <v>67</v>
      </c>
      <c r="H9" s="7" t="s">
        <v>67</v>
      </c>
      <c r="I9" s="14">
        <f>IF(COUNTIF(B9:H9,"OK")+COUNTIF(B9:H9,"RED")&lt;&gt;7,"",IF(COUNTIF(C9:H9,B9)=6,"TAM UYUMLU","SAPMA VAR"))</f>
      </c>
    </row>
    <row r="10" spans="1:11" ht="19" customHeight="1" x14ac:dyDescent="0.3">
      <c r="A10" s="4">
        <v>3</v>
      </c>
      <c r="B10" s="4" t="s">
        <v>65</v>
      </c>
      <c r="C10" s="4" t="s">
        <v>65</v>
      </c>
      <c r="D10" s="4" t="s">
        <v>65</v>
      </c>
      <c r="E10" s="4" t="s">
        <v>65</v>
      </c>
      <c r="F10" s="4" t="s">
        <v>67</v>
      </c>
      <c r="G10" s="4" t="s">
        <v>65</v>
      </c>
      <c r="H10" s="4" t="s">
        <v>65</v>
      </c>
      <c r="I10" s="15">
        <f>IF(COUNTIF(B10:H10,"OK")+COUNTIF(B10:H10,"RED")&lt;&gt;7,"",IF(COUNTIF(C10:H10,B10)=6,"TAM UYUMLU","SAPMA VAR"))</f>
      </c>
    </row>
    <row r="11" spans="1:11" ht="19" customHeight="1" x14ac:dyDescent="0.3">
      <c r="A11" s="7">
        <v>4</v>
      </c>
      <c r="B11" s="7" t="s">
        <v>65</v>
      </c>
      <c r="C11" s="7" t="s">
        <v>65</v>
      </c>
      <c r="D11" s="7" t="s">
        <v>65</v>
      </c>
      <c r="E11" s="7" t="s">
        <v>65</v>
      </c>
      <c r="F11" s="7" t="s">
        <v>65</v>
      </c>
      <c r="G11" s="7" t="s">
        <v>65</v>
      </c>
      <c r="H11" s="7" t="s">
        <v>65</v>
      </c>
      <c r="I11" s="14">
        <f>IF(COUNTIF(B11:H11,"OK")+COUNTIF(B11:H11,"RED")&lt;&gt;7,"",IF(COUNTIF(C11:H11,B11)=6,"TAM UYUMLU","SAPMA VAR"))</f>
      </c>
    </row>
    <row r="12" spans="1:11" ht="19" customHeight="1" x14ac:dyDescent="0.3">
      <c r="A12" s="4">
        <v>5</v>
      </c>
      <c r="B12" s="4" t="s">
        <v>67</v>
      </c>
      <c r="C12" s="4" t="s">
        <v>67</v>
      </c>
      <c r="D12" s="4" t="s">
        <v>67</v>
      </c>
      <c r="E12" s="4" t="s">
        <v>67</v>
      </c>
      <c r="F12" s="4" t="s">
        <v>67</v>
      </c>
      <c r="G12" s="4" t="s">
        <v>67</v>
      </c>
      <c r="H12" s="4" t="s">
        <v>67</v>
      </c>
      <c r="I12" s="13">
        <f>IF(COUNTIF(B12:H12,"OK")+COUNTIF(B12:H12,"RED")&lt;&gt;7,"",IF(COUNTIF(C12:H12,B12)=6,"TAM UYUMLU","SAPMA VAR"))</f>
      </c>
    </row>
    <row r="13" spans="1:11" ht="19" customHeight="1" x14ac:dyDescent="0.3">
      <c r="A13" s="7">
        <v>6</v>
      </c>
      <c r="B13" s="7" t="s">
        <v>65</v>
      </c>
      <c r="C13" s="7" t="s">
        <v>65</v>
      </c>
      <c r="D13" s="7" t="s">
        <v>65</v>
      </c>
      <c r="E13" s="7" t="s">
        <v>65</v>
      </c>
      <c r="F13" s="7" t="s">
        <v>65</v>
      </c>
      <c r="G13" s="7" t="s">
        <v>65</v>
      </c>
      <c r="H13" s="7" t="s">
        <v>65</v>
      </c>
      <c r="I13" s="14">
        <f>IF(COUNTIF(B13:H13,"OK")+COUNTIF(B13:H13,"RED")&lt;&gt;7,"",IF(COUNTIF(C13:H13,B13)=6,"TAM UYUMLU","SAPMA VAR"))</f>
      </c>
    </row>
    <row r="14" spans="1:11" ht="19" customHeight="1" x14ac:dyDescent="0.3">
      <c r="A14" s="4">
        <v>7</v>
      </c>
      <c r="B14" s="4" t="s">
        <v>67</v>
      </c>
      <c r="C14" s="4" t="s">
        <v>67</v>
      </c>
      <c r="D14" s="4" t="s">
        <v>67</v>
      </c>
      <c r="E14" s="4" t="s">
        <v>65</v>
      </c>
      <c r="F14" s="4" t="s">
        <v>67</v>
      </c>
      <c r="G14" s="4" t="s">
        <v>67</v>
      </c>
      <c r="H14" s="4" t="s">
        <v>67</v>
      </c>
      <c r="I14" s="15">
        <f>IF(COUNTIF(B14:H14,"OK")+COUNTIF(B14:H14,"RED")&lt;&gt;7,"",IF(COUNTIF(C14:H14,B14)=6,"TAM UYUMLU","SAPMA VAR"))</f>
      </c>
    </row>
    <row r="15" spans="1:11" ht="19" customHeight="1" x14ac:dyDescent="0.3">
      <c r="A15" s="7">
        <v>8</v>
      </c>
      <c r="B15" s="7" t="s">
        <v>65</v>
      </c>
      <c r="C15" s="7" t="s">
        <v>65</v>
      </c>
      <c r="D15" s="7" t="s">
        <v>65</v>
      </c>
      <c r="E15" s="7" t="s">
        <v>65</v>
      </c>
      <c r="F15" s="7" t="s">
        <v>65</v>
      </c>
      <c r="G15" s="7" t="s">
        <v>65</v>
      </c>
      <c r="H15" s="7" t="s">
        <v>65</v>
      </c>
      <c r="I15" s="14">
        <f>IF(COUNTIF(B15:H15,"OK")+COUNTIF(B15:H15,"RED")&lt;&gt;7,"",IF(COUNTIF(C15:H15,B15)=6,"TAM UYUMLU","SAPMA VAR"))</f>
      </c>
    </row>
    <row r="16" spans="1:11" ht="19" customHeight="1" x14ac:dyDescent="0.3">
      <c r="A16" s="4">
        <v>9</v>
      </c>
      <c r="B16" s="4" t="s">
        <v>65</v>
      </c>
      <c r="C16" s="4" t="s">
        <v>65</v>
      </c>
      <c r="D16" s="4" t="s">
        <v>65</v>
      </c>
      <c r="E16" s="4" t="s">
        <v>65</v>
      </c>
      <c r="F16" s="4" t="s">
        <v>65</v>
      </c>
      <c r="G16" s="4" t="s">
        <v>65</v>
      </c>
      <c r="H16" s="4" t="s">
        <v>65</v>
      </c>
      <c r="I16" s="13">
        <f>IF(COUNTIF(B16:H16,"OK")+COUNTIF(B16:H16,"RED")&lt;&gt;7,"",IF(COUNTIF(C16:H16,B16)=6,"TAM UYUMLU","SAPMA VAR"))</f>
      </c>
    </row>
    <row r="17" spans="1:9" ht="19" customHeight="1" x14ac:dyDescent="0.3">
      <c r="A17" s="7">
        <v>10</v>
      </c>
      <c r="B17" s="7" t="s">
        <v>67</v>
      </c>
      <c r="C17" s="7" t="s">
        <v>67</v>
      </c>
      <c r="D17" s="7" t="s">
        <v>67</v>
      </c>
      <c r="E17" s="7" t="s">
        <v>67</v>
      </c>
      <c r="F17" s="7" t="s">
        <v>67</v>
      </c>
      <c r="G17" s="7" t="s">
        <v>67</v>
      </c>
      <c r="H17" s="7" t="s">
        <v>67</v>
      </c>
      <c r="I17" s="14">
        <f>IF(COUNTIF(B17:H17,"OK")+COUNTIF(B17:H17,"RED")&lt;&gt;7,"",IF(COUNTIF(C17:H17,B17)=6,"TAM UYUMLU","SAPMA VAR"))</f>
      </c>
    </row>
    <row r="19" spans="1:9" x14ac:dyDescent="0.3" ht="33" customHeight="1">
      <c r="A19" s="16" t="inlineStr">
        <is>
          <t xml:space="preserve">Kaynak örnekleri korunmuştur. Numuneler kodlanır; tekrar sırası rastgeleleştirilir. Referans karar onaylı kriterle belirlenir. Uyum oranı tek başına serbest bırakma değildir.</t>
        </is>
      </c>
    </row>
    <row r="21" ht="19" customHeight="1">
      <c r="C21" t="inlineStr">
        <is>
          <t xml:space="preserve">A-T1</t>
        </is>
      </c>
      <c r="D21" t="inlineStr">
        <is>
          <t xml:space="preserve">A-T2</t>
        </is>
      </c>
      <c r="E21" t="inlineStr">
        <is>
          <t xml:space="preserve">B-T1</t>
        </is>
      </c>
      <c r="F21" t="inlineStr">
        <is>
          <t xml:space="preserve">B-T2</t>
        </is>
      </c>
      <c r="G21" t="inlineStr">
        <is>
          <t xml:space="preserve">C-T1</t>
        </is>
      </c>
      <c r="H21" t="inlineStr">
        <is>
          <t xml:space="preserve">C-T2</t>
        </is>
      </c>
    </row>
    <row r="22" ht="33" customHeight="1">
      <c r="A22" t="inlineStr">
        <is>
          <t xml:space="preserve">Referansla uyum</t>
        </is>
      </c>
      <c r="C22" s="35">
        <f>IF(AND(COUNTA($B$8:$B$17)=10,COUNTIF($B$8:$B$17,"OK")+COUNTIF($B$8:$B$17,"RED")=10,COUNTIF(C8:C17,"OK")+COUNTIF(C8:C17,"RED")=10),SUMPRODUCT(--(C8:C17=$B$8:$B$17))/10,"")</f>
      </c>
      <c r="D22" s="35">
        <f>IF(AND(COUNTA($B$8:$B$17)=10,COUNTIF($B$8:$B$17,"OK")+COUNTIF($B$8:$B$17,"RED")=10,COUNTIF(D8:D17,"OK")+COUNTIF(D8:D17,"RED")=10),SUMPRODUCT(--(D8:D17=$B$8:$B$17))/10,"")</f>
      </c>
      <c r="E22" s="35">
        <f>IF(AND(COUNTA($B$8:$B$17)=10,COUNTIF($B$8:$B$17,"OK")+COUNTIF($B$8:$B$17,"RED")=10,COUNTIF(E8:E17,"OK")+COUNTIF(E8:E17,"RED")=10),SUMPRODUCT(--(E8:E17=$B$8:$B$17))/10,"")</f>
      </c>
      <c r="F22" s="35">
        <f>IF(AND(COUNTA($B$8:$B$17)=10,COUNTIF($B$8:$B$17,"OK")+COUNTIF($B$8:$B$17,"RED")=10,COUNTIF(F8:F17,"OK")+COUNTIF(F8:F17,"RED")=10),SUMPRODUCT(--(F8:F17=$B$8:$B$17))/10,"")</f>
      </c>
      <c r="G22" s="35">
        <f>IF(AND(COUNTA($B$8:$B$17)=10,COUNTIF($B$8:$B$17,"OK")+COUNTIF($B$8:$B$17,"RED")=10,COUNTIF(G8:G17,"OK")+COUNTIF(G8:G17,"RED")=10),SUMPRODUCT(--(G8:G17=$B$8:$B$17))/10,"")</f>
      </c>
      <c r="H22" s="35">
        <f>IF(AND(COUNTA($B$8:$B$17)=10,COUNTIF($B$8:$B$17,"OK")+COUNTIF($B$8:$B$17,"RED")=10,COUNTIF(H8:H17,"OK")+COUNTIF(H8:H17,"RED")=10),SUMPRODUCT(--(H8:H17=$B$8:$B$17))/10,"")</f>
      </c>
    </row>
    <row r="23" ht="61" customHeight="1">
      <c r="A23" t="inlineStr">
        <is>
          <t xml:space="preserve">Yanlış kabul / referans RED</t>
        </is>
      </c>
      <c r="C23" s="35">
        <f>IF(AND(COUNTA($B$8:$B$17)=10,COUNTIF($B$8:$B$17,"OK")+COUNTIF($B$8:$B$17,"RED")=10,COUNTIF(C8:C17,"OK")+COUNTIF(C8:C17,"RED")=10),IFERROR(COUNTIFS($B$8:$B$17,"RED",C8:C17,"OK")/COUNTIF($B$8:$B$17,"RED"),""),"")</f>
      </c>
      <c r="D23" s="35">
        <f>IF(AND(COUNTA($B$8:$B$17)=10,COUNTIF($B$8:$B$17,"OK")+COUNTIF($B$8:$B$17,"RED")=10,COUNTIF(D8:D17,"OK")+COUNTIF(D8:D17,"RED")=10),IFERROR(COUNTIFS($B$8:$B$17,"RED",D8:D17,"OK")/COUNTIF($B$8:$B$17,"RED"),""),"")</f>
      </c>
      <c r="E23" s="35">
        <f>IF(AND(COUNTA($B$8:$B$17)=10,COUNTIF($B$8:$B$17,"OK")+COUNTIF($B$8:$B$17,"RED")=10,COUNTIF(E8:E17,"OK")+COUNTIF(E8:E17,"RED")=10),IFERROR(COUNTIFS($B$8:$B$17,"RED",E8:E17,"OK")/COUNTIF($B$8:$B$17,"RED"),""),"")</f>
      </c>
      <c r="F23" s="35">
        <f>IF(AND(COUNTA($B$8:$B$17)=10,COUNTIF($B$8:$B$17,"OK")+COUNTIF($B$8:$B$17,"RED")=10,COUNTIF(F8:F17,"OK")+COUNTIF(F8:F17,"RED")=10),IFERROR(COUNTIFS($B$8:$B$17,"RED",F8:F17,"OK")/COUNTIF($B$8:$B$17,"RED"),""),"")</f>
      </c>
      <c r="G23" s="35">
        <f>IF(AND(COUNTA($B$8:$B$17)=10,COUNTIF($B$8:$B$17,"OK")+COUNTIF($B$8:$B$17,"RED")=10,COUNTIF(G8:G17,"OK")+COUNTIF(G8:G17,"RED")=10),IFERROR(COUNTIFS($B$8:$B$17,"RED",G8:G17,"OK")/COUNTIF($B$8:$B$17,"RED"),""),"")</f>
      </c>
      <c r="H23" s="35">
        <f>IF(AND(COUNTA($B$8:$B$17)=10,COUNTIF($B$8:$B$17,"OK")+COUNTIF($B$8:$B$17,"RED")=10,COUNTIF(H8:H17,"OK")+COUNTIF(H8:H17,"RED")=10),IFERROR(COUNTIFS($B$8:$B$17,"RED",H8:H17,"OK")/COUNTIF($B$8:$B$17,"RED"),""),"")</f>
      </c>
    </row>
    <row r="24" ht="61" customHeight="1">
      <c r="A24" t="inlineStr">
        <is>
          <t xml:space="preserve">Yanlış ret / referans OK</t>
        </is>
      </c>
      <c r="C24" s="35">
        <f>IF(AND(COUNTA($B$8:$B$17)=10,COUNTIF($B$8:$B$17,"OK")+COUNTIF($B$8:$B$17,"RED")=10,COUNTIF(C8:C17,"OK")+COUNTIF(C8:C17,"RED")=10),IFERROR(COUNTIFS($B$8:$B$17,"OK",C8:C17,"RED")/COUNTIF($B$8:$B$17,"OK"),""),"")</f>
      </c>
      <c r="D24" s="35">
        <f>IF(AND(COUNTA($B$8:$B$17)=10,COUNTIF($B$8:$B$17,"OK")+COUNTIF($B$8:$B$17,"RED")=10,COUNTIF(D8:D17,"OK")+COUNTIF(D8:D17,"RED")=10),IFERROR(COUNTIFS($B$8:$B$17,"OK",D8:D17,"RED")/COUNTIF($B$8:$B$17,"OK"),""),"")</f>
      </c>
      <c r="E24" s="35">
        <f>IF(AND(COUNTA($B$8:$B$17)=10,COUNTIF($B$8:$B$17,"OK")+COUNTIF($B$8:$B$17,"RED")=10,COUNTIF(E8:E17,"OK")+COUNTIF(E8:E17,"RED")=10),IFERROR(COUNTIFS($B$8:$B$17,"OK",E8:E17,"RED")/COUNTIF($B$8:$B$17,"OK"),""),"")</f>
      </c>
      <c r="F24" s="35">
        <f>IF(AND(COUNTA($B$8:$B$17)=10,COUNTIF($B$8:$B$17,"OK")+COUNTIF($B$8:$B$17,"RED")=10,COUNTIF(F8:F17,"OK")+COUNTIF(F8:F17,"RED")=10),IFERROR(COUNTIFS($B$8:$B$17,"OK",F8:F17,"RED")/COUNTIF($B$8:$B$17,"OK"),""),"")</f>
      </c>
      <c r="G24" s="35">
        <f>IF(AND(COUNTA($B$8:$B$17)=10,COUNTIF($B$8:$B$17,"OK")+COUNTIF($B$8:$B$17,"RED")=10,COUNTIF(G8:G17,"OK")+COUNTIF(G8:G17,"RED")=10),IFERROR(COUNTIFS($B$8:$B$17,"OK",G8:G17,"RED")/COUNTIF($B$8:$B$17,"OK"),""),"")</f>
      </c>
      <c r="H24" s="35">
        <f>IF(AND(COUNTA($B$8:$B$17)=10,COUNTIF($B$8:$B$17,"OK")+COUNTIF($B$8:$B$17,"RED")=10,COUNTIF(H8:H17,"OK")+COUNTIF(H8:H17,"RED")=10),IFERROR(COUNTIFS($B$8:$B$17,"OK",H8:H17,"RED")/COUNTIF($B$8:$B$17,"OK"),""),"")</f>
      </c>
    </row>
    <row r="25" ht="61" customHeight="1">
      <c r="A25" t="inlineStr">
        <is>
          <t xml:space="preserve">Cohen kappa (referansla)</t>
        </is>
      </c>
      <c r="C25" s="37">
        <f>IF(AND(COUNTA($B$8:$B$17)=10,COUNTIF($B$8:$B$17,"OK")+COUNTIF($B$8:$B$17,"RED")=10,COUNTIF(C8:C17,"OK")+COUNTIF(C8:C17,"RED")=10),IFERROR((C22-((COUNTIF(C8:C17,"OK")*COUNTIF($B$8:$B$17,"OK")+COUNTIF(C8:C17,"RED")*COUNTIF($B$8:$B$17,"RED"))/100))/(1-((COUNTIF(C8:C17,"OK")*COUNTIF($B$8:$B$17,"OK")+COUNTIF(C8:C17,"RED")*COUNTIF($B$8:$B$17,"RED"))/100)),""),"")</f>
      </c>
      <c r="D25" s="37">
        <f>IF(AND(COUNTA($B$8:$B$17)=10,COUNTIF($B$8:$B$17,"OK")+COUNTIF($B$8:$B$17,"RED")=10,COUNTIF(D8:D17,"OK")+COUNTIF(D8:D17,"RED")=10),IFERROR((D22-((COUNTIF(D8:D17,"OK")*COUNTIF($B$8:$B$17,"OK")+COUNTIF(D8:D17,"RED")*COUNTIF($B$8:$B$17,"RED"))/100))/(1-((COUNTIF(D8:D17,"OK")*COUNTIF($B$8:$B$17,"OK")+COUNTIF(D8:D17,"RED")*COUNTIF($B$8:$B$17,"RED"))/100)),""),"")</f>
      </c>
      <c r="E25" s="37">
        <f>IF(AND(COUNTA($B$8:$B$17)=10,COUNTIF($B$8:$B$17,"OK")+COUNTIF($B$8:$B$17,"RED")=10,COUNTIF(E8:E17,"OK")+COUNTIF(E8:E17,"RED")=10),IFERROR((E22-((COUNTIF(E8:E17,"OK")*COUNTIF($B$8:$B$17,"OK")+COUNTIF(E8:E17,"RED")*COUNTIF($B$8:$B$17,"RED"))/100))/(1-((COUNTIF(E8:E17,"OK")*COUNTIF($B$8:$B$17,"OK")+COUNTIF(E8:E17,"RED")*COUNTIF($B$8:$B$17,"RED"))/100)),""),"")</f>
      </c>
      <c r="F25" s="37">
        <f>IF(AND(COUNTA($B$8:$B$17)=10,COUNTIF($B$8:$B$17,"OK")+COUNTIF($B$8:$B$17,"RED")=10,COUNTIF(F8:F17,"OK")+COUNTIF(F8:F17,"RED")=10),IFERROR((F22-((COUNTIF(F8:F17,"OK")*COUNTIF($B$8:$B$17,"OK")+COUNTIF(F8:F17,"RED")*COUNTIF($B$8:$B$17,"RED"))/100))/(1-((COUNTIF(F8:F17,"OK")*COUNTIF($B$8:$B$17,"OK")+COUNTIF(F8:F17,"RED")*COUNTIF($B$8:$B$17,"RED"))/100)),""),"")</f>
      </c>
      <c r="G25" s="37">
        <f>IF(AND(COUNTA($B$8:$B$17)=10,COUNTIF($B$8:$B$17,"OK")+COUNTIF($B$8:$B$17,"RED")=10,COUNTIF(G8:G17,"OK")+COUNTIF(G8:G17,"RED")=10),IFERROR((G22-((COUNTIF(G8:G17,"OK")*COUNTIF($B$8:$B$17,"OK")+COUNTIF(G8:G17,"RED")*COUNTIF($B$8:$B$17,"RED"))/100))/(1-((COUNTIF(G8:G17,"OK")*COUNTIF($B$8:$B$17,"OK")+COUNTIF(G8:G17,"RED")*COUNTIF($B$8:$B$17,"RED"))/100)),""),"")</f>
      </c>
      <c r="H25" s="37">
        <f>IF(AND(COUNTA($B$8:$B$17)=10,COUNTIF($B$8:$B$17,"OK")+COUNTIF($B$8:$B$17,"RED")=10,COUNTIF(H8:H17,"OK")+COUNTIF(H8:H17,"RED")=10),IFERROR((H22-((COUNTIF(H8:H17,"OK")*COUNTIF($B$8:$B$17,"OK")+COUNTIF(H8:H17,"RED")*COUNTIF($B$8:$B$17,"RED"))/100))/(1-((COUNTIF(H8:H17,"OK")*COUNTIF($B$8:$B$17,"OK")+COUNTIF(H8:H17,"RED")*COUNTIF($B$8:$B$17,"RED"))/100)),""),"")</f>
      </c>
    </row>
    <row r="27" ht="61" customHeight="1">
      <c r="A27" t="inlineStr">
        <is>
          <t xml:space="preserve">Tekrarlanabilirlik A / B / C</t>
        </is>
      </c>
      <c r="C27" s="35">
        <f>IF(AND(COUNTIF(C8:C17,"OK")+COUNTIF(C8:C17,"RED")=10,COUNTIF(D8:D17,"OK")+COUNTIF(D8:D17,"RED")=10),SUMPRODUCT(--(C8:C17=D8:D17))/10,"")</f>
      </c>
      <c r="D27" s="35"/>
      <c r="E27" s="35">
        <f>IF(AND(COUNTIF(E8:E17,"OK")+COUNTIF(E8:E17,"RED")=10,COUNTIF(F8:F17,"OK")+COUNTIF(F8:F17,"RED")=10),SUMPRODUCT(--(E8:E17=F8:F17))/10,"")</f>
      </c>
      <c r="F27" s="35"/>
      <c r="G27" s="35">
        <f>IF(AND(COUNTIF(G8:G17,"OK")+COUNTIF(G8:G17,"RED")=10,COUNTIF(H8:H17,"OK")+COUNTIF(H8:H17,"RED")=10),SUMPRODUCT(--(G8:G17=H8:H17))/10,"")</f>
      </c>
      <c r="H27" s="35"/>
    </row>
    <row r="28" ht="60" customHeight="1">
      <c r="A28" t="inlineStr" s="38">
        <is>
          <t xml:space="preserve">Operatörler arası eşleşme: A–B / A–C / B–C</t>
        </is>
      </c>
      <c r="C28" s="35">
        <f>IF(AND(COUNTIF(C8:C17,"OK")+COUNTIF(C8:C17,"RED")=10,COUNTIF(D8:D17,"OK")+COUNTIF(D8:D17,"RED")=10,COUNTIF(E8:E17,"OK")+COUNTIF(E8:E17,"RED")=10,COUNTIF(F8:F17,"OK")+COUNTIF(F8:F17,"RED")=10),(SUMPRODUCT(--(C8:C17=E8:E17))+SUMPRODUCT(--(D8:D17=F8:F17)))/20,"")</f>
      </c>
      <c r="D28" s="35"/>
      <c r="E28" s="35">
        <f>IF(AND(COUNTIF(C8:C17,"OK")+COUNTIF(C8:C17,"RED")=10,COUNTIF(D8:D17,"OK")+COUNTIF(D8:D17,"RED")=10,COUNTIF(G8:G17,"OK")+COUNTIF(G8:G17,"RED")=10,COUNTIF(H8:H17,"OK")+COUNTIF(H8:H17,"RED")=10),(SUMPRODUCT(--(C8:C17=G8:G17))+SUMPRODUCT(--(D8:D17=H8:H17)))/20,"")</f>
      </c>
      <c r="F28" s="35"/>
      <c r="G28" s="35">
        <f>IF(AND(COUNTIF(E8:E17,"OK")+COUNTIF(E8:E17,"RED")=10,COUNTIF(F8:F17,"OK")+COUNTIF(F8:F17,"RED")=10,COUNTIF(G8:G17,"OK")+COUNTIF(G8:G17,"RED")=10,COUNTIF(H8:H17,"OK")+COUNTIF(H8:H17,"RED")=10),(SUMPRODUCT(--(E8:E17=G8:G17))+SUMPRODUCT(--(F8:F17=H8:H17)))/20,"")</f>
      </c>
      <c r="H28" s="35"/>
    </row>
    <row r="29" ht="340.5" customHeight="1">
      <c r="A29" t="inlineStr">
        <is>
          <t xml:space="preserve">Karar: kriter, örnek kapsamı, yanlış kabul/ret riski ve operatör uyumu birlikte değerlendirilir; ANOVA veya ileri analiz isteniyorsa yetkili rapor bağlanır.</t>
        </is>
      </c>
    </row>
  </sheetData>
  <mergeCells count="4">
    <mergeCell ref="A6:K6"/>
    <mergeCell ref="A1:K1"/>
    <mergeCell ref="A19:K19"/>
    <mergeCell ref="A28:B28"/>
  </mergeCells>
  <pageMargins left="0.75" right="0.75" top="1" bottom="1" header="0.5" footer="0.5"/>
  <headerFooter differentOddEven="0" differentFirst="0" scaleWithDoc="0" alignWithMargins="1">
    <oddHeader>&amp;L&amp;"Arial,Bold"&amp;11EKG-KLT-FRM-29&amp;C&amp;"Arial,Regular"&amp;11Cam Hattı Ölçüm Sistemleri Analizi Formları - MSA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Gage R&amp;R Analizi</vt:lpstr>
      <vt:lpstr>Nitel (Attribute) MSA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Ekolglass Kalite</cp:lastModifiedBy>
  <dcterms:created xsi:type="dcterms:W3CDTF">2026-05-04T09:00:00Z</dcterms:created>
  <dcterms:modified xsi:type="dcterms:W3CDTF">2026-10-19T09:00:00Z</dcterms:modified>
</cp:coreProperties>
</file>