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oner"/>
  <workbookPr/>
  <bookViews>
    <workbookView activeTab="0" xWindow="240" yWindow="60" windowWidth="0" windowHeight="0"/>
  </bookViews>
  <sheets>
    <sheet name="X-bar &amp; R Kontrol Kartı" sheetId="1" r:id="rId4"/>
    <sheet name="P-Kontrol Kartı (Kusurlu)" sheetId="2" r:id="rId5"/>
  </sheets>
  <definedNames/>
  <calcPr calcMode="auto" fullCalcOnLoad="1" forceFullCalc="1"/>
  <extLst>
    <ext uri="smNativeData">
      <pm:revision xmlns:pm="smNativeData" day="1789495586" val="1234" rev="124" revOS="4" revMin="124" revMax="0"/>
      <pm:docPrefs xmlns:pm="smNativeData" id="1789495586" fixedDigits="0" showNotice="1" showFrameBounds="1" autoChart="1" recalcOnPrint="1" recalcOnCopy="1" finalRounding="1" compatTextArt="1" tab="567" useDefinedPrintRange="1" printArea="currentSheet"/>
      <pm:compatibility xmlns:pm="smNativeData" id="1789495586" overlapCells="1"/>
      <pm:defCurrency xmlns:pm="smNativeData" id="1789495586"/>
    </ext>
  </extLst>
</workbook>
</file>

<file path=xl/sharedStrings.xml><?xml version="1.0" encoding="utf-8"?>
<sst xmlns="http://schemas.openxmlformats.org/spreadsheetml/2006/main" count="96" uniqueCount="48">
  <si>
    <t>İSTATİSTİKSEL PROSES KONTROL (SPC) FORMU - X-bar &amp; R KARTI</t>
  </si>
  <si>
    <t>Proses / İstasyon:</t>
  </si>
  <si>
    <t>Cam Kesim / Delme Hattı</t>
  </si>
  <si>
    <t>Doküman No:</t>
  </si>
  <si>
    <t>SPC-FRM-01</t>
  </si>
  <si>
    <t>Ölçülen Karakteristik:</t>
  </si>
  <si>
    <t>Örn: Cam Kalınlığı / Delik Çapı (mm)</t>
  </si>
  <si>
    <t>Yayın Tarihi:</t>
  </si>
  <si>
    <t>15.09.2026</t>
  </si>
  <si>
    <t>Nominal Değer / Tolerans:</t>
  </si>
  <si>
    <t>4.00 mm ± 0.20 mm</t>
  </si>
  <si>
    <t>Revizyon No:</t>
  </si>
  <si>
    <t>00</t>
  </si>
  <si>
    <t>Ölçüm Cihazı / Hassasiyet:</t>
  </si>
  <si>
    <t>Dijital Kumpas (0.01 mm)</t>
  </si>
  <si>
    <t>Sayfa:</t>
  </si>
  <si>
    <t>1 / 1</t>
  </si>
  <si>
    <t>Grup No</t>
  </si>
  <si>
    <t>Tarih / Saat</t>
  </si>
  <si>
    <t>Ölçüm 1</t>
  </si>
  <si>
    <t>Ölçüm 2</t>
  </si>
  <si>
    <t>Ölçüm 3</t>
  </si>
  <si>
    <t>Ölçüm 4</t>
  </si>
  <si>
    <t>Ölçüm 5</t>
  </si>
  <si>
    <t>Ortalama (X-bar)</t>
  </si>
  <si>
    <t>Menzil (R)</t>
  </si>
  <si>
    <t>Üst Limit (USL)</t>
  </si>
  <si>
    <t>Alt Limit (LSL)</t>
  </si>
  <si>
    <t>3.94</t>
  </si>
  <si>
    <t>3.95</t>
  </si>
  <si>
    <t>Proses Toplam Ortalaması (X-double bar):</t>
  </si>
  <si>
    <t>Ortalama Menzil (R-bar):</t>
  </si>
  <si>
    <t>PROSES YETERLİLİK ANALİZİ (Cp &amp; Cpk)</t>
  </si>
  <si>
    <t>Standart Sapma (Tahmini σ):</t>
  </si>
  <si>
    <t>Kılavuz Değerlendirme:</t>
  </si>
  <si>
    <t>Cp Değeri:</t>
  </si>
  <si>
    <t>Cpk &gt; 1.33 : Proses Mükemmel (Yeterli)</t>
  </si>
  <si>
    <t>Cpk Değeri:</t>
  </si>
  <si>
    <t>1.00 &lt;= Cpk &lt;= 1.33 : Proses Sınırda (Kontrol Edilmeli)</t>
  </si>
  <si>
    <t>Cpk &lt; 1.00 : Proses Yetersiz (Hata Riski Yüksek!)</t>
  </si>
  <si>
    <t>İSTATİSTİKSEL PROSES KONTROL (SPC) FORMU - P KARTU (NİTEL/KUSURLU ORANI)</t>
  </si>
  <si>
    <t>Parti / Gün No</t>
  </si>
  <si>
    <t>Kontrol Edilen Cam Adedi (n)</t>
  </si>
  <si>
    <t>Kusurlu Parça Sayısı</t>
  </si>
  <si>
    <t>Kusurlu Oranı (p)</t>
  </si>
  <si>
    <t>Üst Kontrol Limiti (UCL)</t>
  </si>
  <si>
    <t>Merkez Çizgi (p-bar)</t>
  </si>
  <si>
    <t>Alt Kontrol Limiti (LCL)</t>
  </si>
</sst>
</file>

<file path=xl/styles.xml><?xml version="1.0" encoding="utf-8"?>
<styleSheet xmlns="http://schemas.openxmlformats.org/spreadsheetml/2006/main">
  <numFmts count="13">
    <numFmt numFmtId="5" formatCode="#,##0\ &quot;₺&quot;;\-#,##0\ &quot;₺&quot;"/>
    <numFmt numFmtId="6" formatCode="#,##0\ &quot;₺&quot;;[Red]\-#,##0\ &quot;₺&quot;"/>
    <numFmt numFmtId="7" formatCode="#,##0.00\ &quot;₺&quot;;\-#,##0.00\ &quot;₺&quot;"/>
    <numFmt numFmtId="8" formatCode="#,##0.00\ &quot;₺&quot;;[Red]\-#,##0.00\ &quot;₺&quot;"/>
    <numFmt numFmtId="42" formatCode="_-* #,##0\ &quot;₺&quot;_-;\-* #,##0\ &quot;₺&quot;_-;_-* &quot;-&quot;\ &quot;₺&quot;_-;_-@_-"/>
    <numFmt numFmtId="41" formatCode="_-* #,##0\ _₺_-;\-* #,##0\ _₺_-;_-* &quot;-&quot;\ _₺_-;_-@_-"/>
    <numFmt numFmtId="44" formatCode="_-* #,##0.00\ &quot;₺&quot;_-;\-* #,##0.00\ &quot;₺&quot;_-;_-* &quot;-&quot;??\ &quot;₺&quot;_-;_-@_-"/>
    <numFmt numFmtId="43" formatCode="_-* #,##0.00\ _₺_-;\-* #,##0.00\ _₺_-;_-* &quot;-&quot;??\ _₺_-;_-@_-"/>
    <numFmt numFmtId="164" formatCode="0.000"/>
    <numFmt numFmtId="2" formatCode="0.00"/>
    <numFmt numFmtId="10" formatCode="0.00%"/>
    <numFmt numFmtId="165" formatCode="0.0000"/>
    <numFmt numFmtId="166" formatCode="0"/>
  </numFmts>
  <fonts count="14">
    <font>
      <name val="Calibri"/>
      <charset val="162"/>
      <family val="2"/>
      <color rgb="FF000000"/>
      <sz val="11"/>
      <extLst>
        <ext uri="smNativeData">
          <pm:charSpec xmlns:pm="smNativeData" id="178949558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162"/>
      <family val="2"/>
      <color rgb="FF000000"/>
      <sz val="10"/>
      <extLst>
        <ext uri="smNativeData">
          <pm:charSpec xmlns:pm="smNativeData" id="178949558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Segoe UI"/>
      <charset val="162"/>
      <family val="2"/>
      <b/>
      <color rgb="FFFFFFFF"/>
      <sz val="16"/>
      <extLst>
        <ext uri="smNativeData">
          <pm:charSpec xmlns:pm="smNativeData" id="1789495586" fgClr="FFFFFF" ulstyle="none" kern="1">
            <pm:latin face="Segoe UI" sz="320" lang="default" weight="bold"/>
            <pm:cs face="Times New Roman" sz="320" lang="default" weight="bold"/>
            <pm:ea face="SimSun" sz="320" lang="default" weight="bold"/>
          </pm:charSpec>
        </ext>
      </extLst>
    </font>
    <font>
      <name val="Segoe UI"/>
      <charset val="162"/>
      <family val="2"/>
      <b/>
      <color rgb="FF000000"/>
      <sz val="11"/>
      <extLst>
        <ext uri="smNativeData">
          <pm:charSpec xmlns:pm="smNativeData" id="1789495586" ulstyle="none" kern="1">
            <pm:latin face="Segoe U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egoe UI"/>
      <charset val="162"/>
      <family val="2"/>
      <color rgb="FF000000"/>
      <sz val="11"/>
      <extLst>
        <ext uri="smNativeData">
          <pm:charSpec xmlns:pm="smNativeData" id="1789495586" ulstyle="none" kern="1">
            <pm:latin face="Segoe UI" sz="220" lang="default"/>
            <pm:cs face="Times New Roman" sz="220" lang="default"/>
            <pm:ea face="SimSun" sz="220" lang="default"/>
          </pm:charSpec>
        </ext>
      </extLst>
    </font>
    <font>
      <name val="Segoe UI"/>
      <charset val="162"/>
      <family val="2"/>
      <b/>
      <color rgb="FFFFFFFF"/>
      <sz val="11"/>
      <extLst>
        <ext uri="smNativeData">
          <pm:charSpec xmlns:pm="smNativeData" id="1789495586" fgClr="FFFFFF" ulstyle="none" kern="1">
            <pm:latin face="Segoe U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egoe UI"/>
      <charset val="162"/>
      <family val="2"/>
      <b/>
      <color rgb="FF1F497D"/>
      <sz val="12"/>
      <extLst>
        <ext uri="smNativeData">
          <pm:charSpec xmlns:pm="smNativeData" id="1789495586" fgClr="1F497D" ulstyle="none" kern="1">
            <pm:latin face="Segoe U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Segoe UI"/>
      <charset val="162"/>
      <family val="2"/>
      <b/>
      <color rgb="FF002060"/>
      <sz val="11"/>
      <extLst>
        <ext uri="smNativeData">
          <pm:charSpec xmlns:pm="smNativeData" id="1789495586" fgClr="002060" ulstyle="none" kern="1">
            <pm:latin face="Segoe U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egoe UI"/>
      <charset val="162"/>
      <family val="2"/>
      <color rgb="FF008000"/>
      <sz val="10"/>
      <extLst>
        <ext uri="smNativeData">
          <pm:charSpec xmlns:pm="smNativeData" id="1789495586" fgClr="008000" ulstyle="none" kern="1">
            <pm:latin face="Segoe UI" sz="200" lang="default"/>
            <pm:cs face="Times New Roman" sz="200" lang="default"/>
            <pm:ea face="SimSun" sz="200" lang="default"/>
          </pm:charSpec>
        </ext>
      </extLst>
    </font>
    <font>
      <name val="Segoe UI"/>
      <charset val="162"/>
      <family val="2"/>
      <color rgb="FF8B8000"/>
      <sz val="10"/>
      <extLst>
        <ext uri="smNativeData">
          <pm:charSpec xmlns:pm="smNativeData" id="1789495586" fgClr="8B8000" ulstyle="none" kern="1">
            <pm:latin face="Segoe UI" sz="200" lang="default"/>
            <pm:cs face="Times New Roman" sz="200" lang="default"/>
            <pm:ea face="SimSun" sz="200" lang="default"/>
          </pm:charSpec>
        </ext>
      </extLst>
    </font>
    <font>
      <name val="Segoe UI"/>
      <charset val="162"/>
      <family val="2"/>
      <color rgb="FFFF0000"/>
      <sz val="10"/>
      <extLst>
        <ext uri="smNativeData">
          <pm:charSpec xmlns:pm="smNativeData" id="1789495586" fgClr="FF0000" ulstyle="none" kern="1">
            <pm:latin face="Segoe UI" sz="200" lang="default"/>
            <pm:cs face="Times New Roman" sz="200" lang="default"/>
            <pm:ea face="SimSun" sz="200" lang="default"/>
          </pm:charSpec>
        </ext>
      </extLst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FFFFFF"/>
      </patternFill>
    </fill>
    <fill>
      <patternFill patternType="none"/>
    </fill>
    <fill>
      <patternFill patternType="solid">
        <fgColor rgb="FFF2F5F8"/>
        <bgColor rgb="FFFFFFFF"/>
      </patternFill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18364A"/>
        <bgColor indexed="64"/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49558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495586"/>
        </ext>
      </extLs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extLst>
        <ext uri="smNativeData">
          <pm:border xmlns:pm="smNativeData" id="1789495586">
            <pm:line position="top" type="1" style="0" width="20" dist="20" width2="20" rgb="BFBFBF"/>
            <pm:line position="bottom" type="1" style="0" width="20" dist="20" width2="20" rgb="BFBFBF"/>
            <pm:line position="left" type="1" style="0" width="20" dist="20" width2="20" rgb="BFBFBF"/>
            <pm:line position="right" type="1" style="0" width="20" dist="20" width2="20" rgb="BFBFBF"/>
          </pm:border>
        </ext>
      </extLs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extLst>
        <ext uri="smNativeData">
          <pm:border xmlns:pm="smNativeData" id="1789495586">
            <pm:line position="top" type="1" style="0" width="20" dist="20" width2="20" rgb="BFBFBF"/>
            <pm:line position="bottom" type="1" style="0" width="20" dist="20" width2="20" rgb="BFBFBF"/>
            <pm:line position="left" type="1" style="0" width="20" dist="20" width2="20" rgb="BFBFBF"/>
            <pm:line position="right" type="1" style="0" width="20" dist="20" width2="20" rgb="BFBFBF"/>
          </pm:border>
        </ext>
      </extLst>
    </border>
    <border>
      <left style="none">
        <color rgb="FF000000"/>
      </left>
      <right style="none">
        <color rgb="FF000000"/>
      </right>
      <top style="thin">
        <color rgb="FFBFBFBF"/>
      </top>
      <bottom style="double">
        <color rgb="FF000000"/>
      </bottom>
      <extLst>
        <ext uri="smNativeData">
          <pm:border xmlns:pm="smNativeData" id="1789495586">
            <pm:line position="top" type="1" style="0" width="20" dist="20" width2="20" rgb="BFBFBF"/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49558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49558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0">
    <xf numFmtId="0" fontId="0" fillId="0" borderId="0" xfId="0" applyAlignment="1">
      <alignment wrapText="1" shrinkToFit="0" vertical="top"/>
    </xf>
    <xf numFmtId="0" fontId="2" fillId="2" borderId="1" xfId="0" applyFont="1" applyFill="1" applyAlignment="1">
      <alignment horizontal="center" vertical="center" wrapText="1" shrinkToFit="0"/>
    </xf>
    <xf numFmtId="0" fontId="3" fillId="0" borderId="0" xfId="0" applyFont="1" applyAlignment="1">
      <alignment wrapText="1" shrinkToFit="0" vertical="top"/>
    </xf>
    <xf numFmtId="0" fontId="4" fillId="0" borderId="0" xfId="0" applyFont="1" applyAlignment="1">
      <alignment wrapText="1" shrinkToFit="0" vertical="top"/>
    </xf>
    <xf numFmtId="0" fontId="5" fillId="2" borderId="1" xfId="0" applyFont="1" applyFill="1" applyAlignment="1">
      <alignment horizontal="center" vertical="center" wrapText="1" shrinkToFit="0"/>
    </xf>
    <xf numFmtId="0" fontId="4" fillId="0" borderId="2" xfId="0" applyFont="1" applyBorder="1" applyAlignment="1">
      <alignment horizontal="center" wrapText="1" shrinkToFit="0" vertical="top"/>
    </xf>
    <xf numFmtId="0" fontId="4" fillId="0" borderId="2" xfId="0" applyFont="1" applyBorder="1" applyAlignment="1">
      <alignment wrapText="1" shrinkToFit="0" vertical="top"/>
    </xf>
    <xf numFmtId="2" fontId="4" fillId="0" borderId="2" xfId="0" applyNumberFormat="1" applyFont="1" applyBorder="1" applyAlignment="1">
      <alignment wrapText="1" shrinkToFit="0" vertical="top"/>
    </xf>
    <xf numFmtId="0" fontId="4" fillId="4" borderId="3" xfId="0" applyFont="1" applyFill="1" applyBorder="1" applyAlignment="1">
      <alignment horizontal="center" wrapText="1" shrinkToFit="0" vertical="top"/>
    </xf>
    <xf numFmtId="2" fontId="4" fillId="4" borderId="3" xfId="0" applyNumberFormat="1" applyFont="1" applyFill="1" applyBorder="1" applyAlignment="1">
      <alignment wrapText="1" shrinkToFit="0" vertical="top"/>
    </xf>
    <xf numFmtId="0" fontId="3" fillId="0" borderId="0" xfId="0" applyFont="1" applyAlignment="1">
      <alignment horizontal="right" wrapText="1" shrinkToFit="0" vertical="top"/>
    </xf>
    <xf numFmtId="2" fontId="3" fillId="0" borderId="4" xfId="0" applyNumberFormat="1" applyFont="1" applyBorder="1" applyAlignment="1">
      <alignment wrapText="1" shrinkToFit="0" vertical="top"/>
    </xf>
    <xf numFmtId="0" fontId="6" fillId="0" borderId="0" xfId="0" applyFont="1" applyAlignment="1">
      <alignment wrapText="1" shrinkToFit="0" vertical="top"/>
    </xf>
    <xf numFmtId="164" fontId="7" fillId="0" borderId="0" xfId="0" applyNumberFormat="1" applyFont="1" applyAlignment="1">
      <alignment wrapText="1" shrinkToFit="0" vertical="top"/>
    </xf>
    <xf numFmtId="2" fontId="7" fillId="0" borderId="0" xfId="0" applyNumberFormat="1" applyFont="1" applyAlignment="1">
      <alignment wrapText="1" shrinkToFit="0" vertical="top"/>
    </xf>
    <xf numFmtId="0" fontId="8" fillId="0" borderId="0" xfId="0" applyFont="1" applyAlignment="1">
      <alignment wrapText="1" shrinkToFit="0" vertical="top"/>
    </xf>
    <xf numFmtId="0" fontId="9" fillId="0" borderId="0" xfId="0" applyFont="1" applyAlignment="1">
      <alignment wrapText="1" shrinkToFit="0" vertical="top"/>
    </xf>
    <xf numFmtId="0" fontId="10" fillId="0" borderId="0" xfId="0" applyFont="1" applyAlignment="1">
      <alignment wrapText="1" shrinkToFit="0" vertical="top"/>
    </xf>
    <xf numFmtId="0" fontId="2" fillId="6" borderId="5" xfId="0" applyFont="1" applyFill="1" applyAlignment="1">
      <alignment horizontal="center" vertical="center" wrapText="1" shrinkToFit="0"/>
    </xf>
    <xf numFmtId="0" fontId="5" fillId="6" borderId="5" xfId="0" applyFont="1" applyFill="1" applyAlignment="1">
      <alignment horizontal="center" vertical="center" wrapText="1" shrinkToFit="0"/>
    </xf>
    <xf numFmtId="0" fontId="4" fillId="0" borderId="2" xfId="0" applyFont="1" applyBorder="1" applyAlignment="1">
      <alignment horizontal="right" wrapText="1" shrinkToFit="0" vertical="top"/>
    </xf>
    <xf numFmtId="10" fontId="4" fillId="0" borderId="2" xfId="0" applyNumberFormat="1" applyFont="1" applyBorder="1" applyAlignment="1">
      <alignment wrapText="1" shrinkToFit="0" vertical="top"/>
    </xf>
    <xf numFmtId="0" fontId="4" fillId="4" borderId="3" xfId="0" applyFont="1" applyFill="1" applyBorder="1" applyAlignment="1">
      <alignment horizontal="right" wrapText="1" shrinkToFit="0" vertical="top"/>
    </xf>
    <xf numFmtId="10" fontId="4" fillId="4" borderId="3" xfId="0" applyNumberFormat="1" applyFont="1" applyFill="1" applyBorder="1" applyAlignment="1">
      <alignment wrapText="1" shrinkToFit="0" vertical="top"/>
    </xf>
    <xf numFmtId="0" fontId="11" fillId="8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165" fontId="4" fillId="0" borderId="2" xfId="0" applyFont="1" applyBorder="1" applyNumberFormat="1" applyAlignment="1">
      <alignment wrapText="1" shrinkToFit="0" vertical="top"/>
    </xf>
    <xf numFmtId="165" fontId="4" fillId="0" borderId="2" xfId="0" applyNumberFormat="1" applyFont="1" applyBorder="1" applyAlignment="1">
      <alignment wrapText="1" shrinkToFit="0" vertical="top"/>
    </xf>
    <xf numFmtId="165" fontId="4" fillId="4" borderId="3" xfId="0" applyNumberFormat="1" applyFont="1" applyFill="1" applyBorder="1" applyAlignment="1">
      <alignment wrapText="1" shrinkToFit="0" vertical="top"/>
    </xf>
    <xf numFmtId="165" fontId="0" fillId="0" borderId="0" xfId="0" applyNumberFormat="1" applyAlignment="1">
      <alignment wrapText="1" shrinkToFit="0" vertical="top"/>
    </xf>
    <xf numFmtId="165" fontId="3" fillId="0" borderId="4" xfId="0" applyNumberFormat="1" applyFont="1" applyBorder="1" applyAlignment="1">
      <alignment wrapText="1" shrinkToFit="0" vertical="top"/>
    </xf>
    <xf numFmtId="165" fontId="7" fillId="0" borderId="0" xfId="0" applyNumberFormat="1" applyFont="1" applyAlignment="1">
      <alignment wrapText="1" shrinkToFit="0" vertical="top"/>
    </xf>
    <xf numFmtId="165" fontId="7" fillId="0" borderId="0" xfId="0" applyNumberFormat="1" applyFont="1" applyAlignment="1">
      <alignment wrapText="1" shrinkToFit="0" vertical="top"/>
    </xf>
    <xf numFmtId="166" fontId="4" fillId="0" borderId="2" xfId="0" applyFont="1" applyBorder="1" applyAlignment="1" applyNumberFormat="1">
      <alignment horizontal="right" wrapText="1" shrinkToFit="0" vertical="top"/>
    </xf>
    <xf numFmtId="166" fontId="4" fillId="4" borderId="3" xfId="0" applyFont="1" applyFill="1" applyBorder="1" applyAlignment="1" applyNumberFormat="1">
      <alignment horizontal="right" wrapText="1" shrinkToFit="0" vertical="top"/>
    </xf>
    <xf numFmtId="10" fontId="4" fillId="0" borderId="2" xfId="0" applyNumberFormat="1" applyFont="1" applyBorder="1" applyAlignment="1">
      <alignment wrapText="1" shrinkToFit="0" vertical="top"/>
    </xf>
    <xf numFmtId="10" fontId="4" fillId="4" borderId="3" xfId="0" applyNumberFormat="1" applyFont="1" applyFill="1" applyBorder="1" applyAlignment="1">
      <alignment wrapText="1" shrinkToFit="0" vertical="top"/>
    </xf>
    <xf numFmtId="0" fontId="0" fillId="0" borderId="0" xfId="0" applyAlignment="1">
      <alignment wrapText="1" shrinkToFit="0" vertical="top"/>
    </xf>
    <xf numFmtId="0" fontId="0" fillId="0" borderId="0" xfId="0" applyAlignment="1">
      <alignment wrapText="1" shrinkToFit="0" vertical="top"/>
    </xf>
  </cellXfs>
  <cellStyles count="1">
    <cellStyle name="Normal" xfId="0" builtinId="0" customBuiltin="1"/>
  </cellStyles>
  <tableStyles count="0"/>
  <extLst>
    <ext uri="smNativeData">
      <pm:charStyles xmlns:pm="smNativeData" id="1789495586" count="1">
        <pm:charStyle name="Normal" fontId="0" Id="1"/>
      </pm:charStyles>
      <pm:colors xmlns:pm="smNativeData" id="1789495586" count="6">
        <pm:color name="Renk 24" rgb="1F497D"/>
        <pm:color name="Renk 25" rgb="002060"/>
        <pm:color name="Renk 26" rgb="008000"/>
        <pm:color name="Renk 27" rgb="8B8000"/>
        <pm:color name="Renk 28" rgb="F2F5F8"/>
        <pm:color name="Renk 29" rgb="BFBFBF"/>
      </pm:colors>
    </ext>
  </extLst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/>
  <dimension ref="A1:K48"/>
  <sheetViews>
    <sheetView view="normal" topLeftCell="A25" workbookViewId="0">
      <selection activeCell="A40" sqref="A40"/>
    </sheetView>
  </sheetViews>
  <sheetFormatPr defaultRowHeight="15.40"/>
  <cols>
    <col min="1" max="1" width="61.000000" customWidth="1"/>
    <col min="2" max="2" width="39.000000" customWidth="1"/>
    <col min="3" max="3" width="13.000000" customWidth="1"/>
    <col min="4" max="4" width="16.000000" customWidth="1"/>
    <col min="5" max="5" width="58.000000" customWidth="1"/>
    <col min="6" max="7" width="13.000000" customWidth="1"/>
    <col min="8" max="8" width="19.000000" customWidth="1"/>
    <col min="9" max="9" width="13.000000" customWidth="1"/>
    <col min="10" max="11" width="18.000000" customWidth="1"/>
  </cols>
  <sheetData>
    <row r="1" spans="1:1" ht="40" customHeight="1">
      <c r="A1" s="1" t="s">
        <v>0</v>
      </c>
    </row>
    <row r="3" spans="1:5" ht="20" customHeight="1">
      <c r="A3" s="2" t="s">
        <v>1</v>
      </c>
      <c r="B3" s="3" t="s">
        <v>2</v>
      </c>
      <c r="D3" s="2" t="s">
        <v>3</v>
      </c>
      <c r="E3" s="3" t="inlineStr">
        <is>
          <t xml:space="preserve">EKG-KLT-FRM-33</t>
        </is>
      </c>
    </row>
    <row r="4" spans="1:5" ht="33" customHeight="1">
      <c r="A4" s="2" t="s">
        <v>5</v>
      </c>
      <c r="B4" s="3" t="s">
        <v>6</v>
      </c>
      <c r="D4" s="2" t="s">
        <v>7</v>
      </c>
      <c r="E4" s="3" t="inlineStr">
        <is>
          <t xml:space="preserve">04.05.2026</t>
        </is>
      </c>
    </row>
    <row r="5" spans="1:5" ht="20" customHeight="1">
      <c r="A5" s="2" t="s">
        <v>9</v>
      </c>
      <c r="B5" s="3" t="s">
        <v>10</v>
      </c>
      <c r="D5" s="2" t="s">
        <v>11</v>
      </c>
      <c r="E5" s="3" t="s">
        <v>12</v>
      </c>
    </row>
    <row r="6" spans="1:5" ht="20" customHeight="1">
      <c r="A6" s="2" t="s">
        <v>13</v>
      </c>
      <c r="B6" s="3" t="s">
        <v>14</v>
      </c>
      <c r="D6" s="2" t="s">
        <v>15</v>
      </c>
      <c r="E6" s="3" t="s">
        <v>16</v>
      </c>
    </row>
    <row r="8" spans="1:11" ht="28" customHeight="1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</row>
    <row r="9" spans="1:11" ht="47" customHeight="1">
      <c r="A9" s="5" t="n">
        <v>1</v>
      </c>
      <c r="B9" s="5"/>
      <c r="C9" s="27">
        <v>3.94</v>
      </c>
      <c r="D9" s="27">
        <v>3.95</v>
      </c>
      <c r="E9" s="27" t="n">
        <v>3.91999999999999993</v>
      </c>
      <c r="F9" s="27" t="n">
        <v>3.95999999999999996</v>
      </c>
      <c r="G9" s="27" t="n">
        <v>3.93000000000000007</v>
      </c>
      <c r="H9" s="28">
        <f>IF(COUNT(C9:G9)&lt;&gt;5,"",AVERAGE(C9:G9))</f>
      </c>
      <c r="I9" s="28">
        <f>IF(COUNT(C9:G9)&lt;&gt;5,"",MAX(C9:G9)-MIN(C9:G9))</f>
      </c>
      <c r="J9" s="28" t="n">
        <v>4.20000000000000018</v>
      </c>
      <c r="K9" s="28" t="n">
        <v>3.79999999999999982</v>
      </c>
    </row>
    <row r="10" spans="1:11" ht="47" customHeight="1">
      <c r="A10" s="8" t="n">
        <v>2</v>
      </c>
      <c r="B10" s="8"/>
      <c r="C10" s="27">
        <v>3.94</v>
      </c>
      <c r="D10" s="27">
        <v>3.95</v>
      </c>
      <c r="E10" s="27" t="n">
        <v>3.91999999999999993</v>
      </c>
      <c r="F10" s="27" t="n">
        <v>3.95999999999999996</v>
      </c>
      <c r="G10" s="27" t="n">
        <v>3.93000000000000007</v>
      </c>
      <c r="H10" s="29">
        <f>IF(COUNT(C10:G10)&lt;&gt;5,"",AVERAGE(C10:G10))</f>
      </c>
      <c r="I10" s="29">
        <f>IF(COUNT(C10:G10)&lt;&gt;5,"",MAX(C10:G10)-MIN(C10:G10))</f>
      </c>
      <c r="J10" s="29" t="n">
        <v>4.20000000000000018</v>
      </c>
      <c r="K10" s="29" t="n">
        <v>3.79999999999999982</v>
      </c>
    </row>
    <row r="11" spans="1:11" ht="47" customHeight="1">
      <c r="A11" s="5" t="n">
        <v>3</v>
      </c>
      <c r="B11" s="5"/>
      <c r="C11" s="27">
        <v>3.94</v>
      </c>
      <c r="D11" s="27">
        <v>3.95</v>
      </c>
      <c r="E11" s="27" t="n">
        <v>3.91999999999999993</v>
      </c>
      <c r="F11" s="27" t="n">
        <v>3.95999999999999996</v>
      </c>
      <c r="G11" s="27" t="n">
        <v>3.93000000000000007</v>
      </c>
      <c r="H11" s="28">
        <f>IF(COUNT(C11:G11)&lt;&gt;5,"",AVERAGE(C11:G11))</f>
      </c>
      <c r="I11" s="28">
        <f>IF(COUNT(C11:G11)&lt;&gt;5,"",MAX(C11:G11)-MIN(C11:G11))</f>
      </c>
      <c r="J11" s="28" t="n">
        <v>4.20000000000000018</v>
      </c>
      <c r="K11" s="28" t="n">
        <v>3.79999999999999982</v>
      </c>
    </row>
    <row r="12" spans="1:11" ht="47" customHeight="1">
      <c r="A12" s="8" t="n">
        <v>4</v>
      </c>
      <c r="B12" s="8"/>
      <c r="C12" s="27">
        <v>3.94</v>
      </c>
      <c r="D12" s="27">
        <v>3.95</v>
      </c>
      <c r="E12" s="27" t="n">
        <v>3.91999999999999993</v>
      </c>
      <c r="F12" s="27" t="n">
        <v>3.95999999999999996</v>
      </c>
      <c r="G12" s="27" t="n">
        <v>3.93000000000000007</v>
      </c>
      <c r="H12" s="29">
        <f>IF(COUNT(C12:G12)&lt;&gt;5,"",AVERAGE(C12:G12))</f>
      </c>
      <c r="I12" s="29">
        <f>IF(COUNT(C12:G12)&lt;&gt;5,"",MAX(C12:G12)-MIN(C12:G12))</f>
      </c>
      <c r="J12" s="29" t="n">
        <v>4.20000000000000018</v>
      </c>
      <c r="K12" s="29" t="n">
        <v>3.79999999999999982</v>
      </c>
    </row>
    <row r="13" spans="1:11" ht="47" customHeight="1">
      <c r="A13" s="5" t="n">
        <v>5</v>
      </c>
      <c r="B13" s="5"/>
      <c r="C13" s="27">
        <v>3.94</v>
      </c>
      <c r="D13" s="27">
        <v>3.95</v>
      </c>
      <c r="E13" s="27" t="n">
        <v>3.91999999999999993</v>
      </c>
      <c r="F13" s="27" t="n">
        <v>3.95999999999999996</v>
      </c>
      <c r="G13" s="27" t="n">
        <v>3.93000000000000007</v>
      </c>
      <c r="H13" s="28">
        <f>IF(COUNT(C13:G13)&lt;&gt;5,"",AVERAGE(C13:G13))</f>
      </c>
      <c r="I13" s="28">
        <f>IF(COUNT(C13:G13)&lt;&gt;5,"",MAX(C13:G13)-MIN(C13:G13))</f>
      </c>
      <c r="J13" s="28" t="n">
        <v>4.20000000000000018</v>
      </c>
      <c r="K13" s="28" t="n">
        <v>3.79999999999999982</v>
      </c>
    </row>
    <row r="14" spans="1:11" ht="47" customHeight="1">
      <c r="A14" s="8" t="n">
        <v>6</v>
      </c>
      <c r="B14" s="8"/>
      <c r="C14" s="27">
        <v>3.94</v>
      </c>
      <c r="D14" s="27">
        <v>3.95</v>
      </c>
      <c r="E14" s="27" t="n">
        <v>3.91999999999999993</v>
      </c>
      <c r="F14" s="27" t="n">
        <v>3.95999999999999996</v>
      </c>
      <c r="G14" s="27" t="n">
        <v>3.93000000000000007</v>
      </c>
      <c r="H14" s="29">
        <f>IF(COUNT(C14:G14)&lt;&gt;5,"",AVERAGE(C14:G14))</f>
      </c>
      <c r="I14" s="29">
        <f>IF(COUNT(C14:G14)&lt;&gt;5,"",MAX(C14:G14)-MIN(C14:G14))</f>
      </c>
      <c r="J14" s="29" t="n">
        <v>4.20000000000000018</v>
      </c>
      <c r="K14" s="29" t="n">
        <v>3.79999999999999982</v>
      </c>
    </row>
    <row r="15" spans="1:11" ht="47" customHeight="1">
      <c r="A15" s="5" t="n">
        <v>7</v>
      </c>
      <c r="B15" s="5"/>
      <c r="C15" s="27">
        <v>3.94</v>
      </c>
      <c r="D15" s="27">
        <v>3.95</v>
      </c>
      <c r="E15" s="27" t="n">
        <v>3.91999999999999993</v>
      </c>
      <c r="F15" s="27" t="n">
        <v>3.95999999999999996</v>
      </c>
      <c r="G15" s="27" t="n">
        <v>3.93000000000000007</v>
      </c>
      <c r="H15" s="28">
        <f>IF(COUNT(C15:G15)&lt;&gt;5,"",AVERAGE(C15:G15))</f>
      </c>
      <c r="I15" s="28">
        <f>IF(COUNT(C15:G15)&lt;&gt;5,"",MAX(C15:G15)-MIN(C15:G15))</f>
      </c>
      <c r="J15" s="28" t="n">
        <v>4.20000000000000018</v>
      </c>
      <c r="K15" s="28" t="n">
        <v>3.79999999999999982</v>
      </c>
    </row>
    <row r="16" spans="1:11" ht="47" customHeight="1">
      <c r="A16" s="8" t="n">
        <v>8</v>
      </c>
      <c r="B16" s="8"/>
      <c r="C16" s="27">
        <v>3.94</v>
      </c>
      <c r="D16" s="27">
        <v>3.95</v>
      </c>
      <c r="E16" s="27" t="n">
        <v>3.91999999999999993</v>
      </c>
      <c r="F16" s="27" t="n">
        <v>3.95999999999999996</v>
      </c>
      <c r="G16" s="27" t="n">
        <v>3.93000000000000007</v>
      </c>
      <c r="H16" s="29">
        <f>IF(COUNT(C16:G16)&lt;&gt;5,"",AVERAGE(C16:G16))</f>
      </c>
      <c r="I16" s="29">
        <f>IF(COUNT(C16:G16)&lt;&gt;5,"",MAX(C16:G16)-MIN(C16:G16))</f>
      </c>
      <c r="J16" s="29" t="n">
        <v>4.20000000000000018</v>
      </c>
      <c r="K16" s="29" t="n">
        <v>3.79999999999999982</v>
      </c>
    </row>
    <row r="17" spans="1:11" ht="47" customHeight="1">
      <c r="A17" s="5" t="n">
        <v>9</v>
      </c>
      <c r="B17" s="5"/>
      <c r="C17" s="27">
        <v>3.94</v>
      </c>
      <c r="D17" s="27">
        <v>3.95</v>
      </c>
      <c r="E17" s="27" t="n">
        <v>3.91999999999999993</v>
      </c>
      <c r="F17" s="27" t="n">
        <v>3.95999999999999996</v>
      </c>
      <c r="G17" s="27" t="n">
        <v>3.93000000000000007</v>
      </c>
      <c r="H17" s="28">
        <f>IF(COUNT(C17:G17)&lt;&gt;5,"",AVERAGE(C17:G17))</f>
      </c>
      <c r="I17" s="28">
        <f>IF(COUNT(C17:G17)&lt;&gt;5,"",MAX(C17:G17)-MIN(C17:G17))</f>
      </c>
      <c r="J17" s="28" t="n">
        <v>4.20000000000000018</v>
      </c>
      <c r="K17" s="28" t="n">
        <v>3.79999999999999982</v>
      </c>
    </row>
    <row r="18" spans="1:11" ht="47" customHeight="1">
      <c r="A18" s="8" t="n">
        <v>10</v>
      </c>
      <c r="B18" s="8"/>
      <c r="C18" s="27">
        <v>3.94</v>
      </c>
      <c r="D18" s="27">
        <v>3.95</v>
      </c>
      <c r="E18" s="27" t="n">
        <v>3.91999999999999993</v>
      </c>
      <c r="F18" s="27" t="n">
        <v>3.95999999999999996</v>
      </c>
      <c r="G18" s="27" t="n">
        <v>3.93000000000000007</v>
      </c>
      <c r="H18" s="29">
        <f>IF(COUNT(C18:G18)&lt;&gt;5,"",AVERAGE(C18:G18))</f>
      </c>
      <c r="I18" s="29">
        <f>IF(COUNT(C18:G18)&lt;&gt;5,"",MAX(C18:G18)-MIN(C18:G18))</f>
      </c>
      <c r="J18" s="29" t="n">
        <v>4.20000000000000018</v>
      </c>
      <c r="K18" s="29" t="n">
        <v>3.79999999999999982</v>
      </c>
    </row>
    <row r="19" spans="1:11" ht="47" customHeight="1">
      <c r="A19" s="5" t="n">
        <v>11</v>
      </c>
      <c r="B19" s="5"/>
      <c r="C19" s="27">
        <v>3.94</v>
      </c>
      <c r="D19" s="27">
        <v>3.95</v>
      </c>
      <c r="E19" s="27" t="n">
        <v>3.91999999999999993</v>
      </c>
      <c r="F19" s="27" t="n">
        <v>3.95999999999999996</v>
      </c>
      <c r="G19" s="27" t="n">
        <v>3.93000000000000007</v>
      </c>
      <c r="H19" s="28">
        <f>IF(COUNT(C19:G19)&lt;&gt;5,"",AVERAGE(C19:G19))</f>
      </c>
      <c r="I19" s="28">
        <f>IF(COUNT(C19:G19)&lt;&gt;5,"",MAX(C19:G19)-MIN(C19:G19))</f>
      </c>
      <c r="J19" s="28" t="n">
        <v>4.20000000000000018</v>
      </c>
      <c r="K19" s="28" t="n">
        <v>3.79999999999999982</v>
      </c>
    </row>
    <row r="20" spans="1:11" ht="47" customHeight="1">
      <c r="A20" s="8" t="n">
        <v>12</v>
      </c>
      <c r="B20" s="8"/>
      <c r="C20" s="27">
        <v>3.94</v>
      </c>
      <c r="D20" s="27">
        <v>3.95</v>
      </c>
      <c r="E20" s="27" t="n">
        <v>3.91999999999999993</v>
      </c>
      <c r="F20" s="27" t="n">
        <v>3.95999999999999996</v>
      </c>
      <c r="G20" s="27" t="n">
        <v>3.93000000000000007</v>
      </c>
      <c r="H20" s="29">
        <f>IF(COUNT(C20:G20)&lt;&gt;5,"",AVERAGE(C20:G20))</f>
      </c>
      <c r="I20" s="29">
        <f>IF(COUNT(C20:G20)&lt;&gt;5,"",MAX(C20:G20)-MIN(C20:G20))</f>
      </c>
      <c r="J20" s="29" t="n">
        <v>4.20000000000000018</v>
      </c>
      <c r="K20" s="29" t="n">
        <v>3.79999999999999982</v>
      </c>
    </row>
    <row r="21" spans="1:11" ht="47" customHeight="1">
      <c r="A21" s="5" t="n">
        <v>13</v>
      </c>
      <c r="B21" s="5"/>
      <c r="C21" s="27">
        <v>3.94</v>
      </c>
      <c r="D21" s="27">
        <v>3.95</v>
      </c>
      <c r="E21" s="27" t="n">
        <v>3.91999999999999993</v>
      </c>
      <c r="F21" s="27" t="n">
        <v>3.95999999999999996</v>
      </c>
      <c r="G21" s="27" t="n">
        <v>3.93000000000000007</v>
      </c>
      <c r="H21" s="28">
        <f>IF(COUNT(C21:G21)&lt;&gt;5,"",AVERAGE(C21:G21))</f>
      </c>
      <c r="I21" s="28">
        <f>IF(COUNT(C21:G21)&lt;&gt;5,"",MAX(C21:G21)-MIN(C21:G21))</f>
      </c>
      <c r="J21" s="28" t="n">
        <v>4.20000000000000018</v>
      </c>
      <c r="K21" s="28" t="n">
        <v>3.79999999999999982</v>
      </c>
    </row>
    <row r="22" spans="1:11" ht="47" customHeight="1">
      <c r="A22" s="8" t="n">
        <v>14</v>
      </c>
      <c r="B22" s="8"/>
      <c r="C22" s="27">
        <v>3.94</v>
      </c>
      <c r="D22" s="27">
        <v>3.95</v>
      </c>
      <c r="E22" s="27" t="n">
        <v>3.91999999999999993</v>
      </c>
      <c r="F22" s="27" t="n">
        <v>3.95999999999999996</v>
      </c>
      <c r="G22" s="27" t="n">
        <v>3.93000000000000007</v>
      </c>
      <c r="H22" s="29">
        <f>IF(COUNT(C22:G22)&lt;&gt;5,"",AVERAGE(C22:G22))</f>
      </c>
      <c r="I22" s="29">
        <f>IF(COUNT(C22:G22)&lt;&gt;5,"",MAX(C22:G22)-MIN(C22:G22))</f>
      </c>
      <c r="J22" s="29" t="n">
        <v>4.20000000000000018</v>
      </c>
      <c r="K22" s="29" t="n">
        <v>3.79999999999999982</v>
      </c>
    </row>
    <row r="23" spans="1:11" ht="47" customHeight="1">
      <c r="A23" s="5" t="n">
        <v>15</v>
      </c>
      <c r="B23" s="5"/>
      <c r="C23" s="27">
        <v>3.94</v>
      </c>
      <c r="D23" s="27">
        <v>3.95</v>
      </c>
      <c r="E23" s="27" t="n">
        <v>3.91999999999999993</v>
      </c>
      <c r="F23" s="27" t="n">
        <v>3.95999999999999996</v>
      </c>
      <c r="G23" s="27" t="n">
        <v>3.93000000000000007</v>
      </c>
      <c r="H23" s="28">
        <f>IF(COUNT(C23:G23)&lt;&gt;5,"",AVERAGE(C23:G23))</f>
      </c>
      <c r="I23" s="28">
        <f>IF(COUNT(C23:G23)&lt;&gt;5,"",MAX(C23:G23)-MIN(C23:G23))</f>
      </c>
      <c r="J23" s="28" t="n">
        <v>4.20000000000000018</v>
      </c>
      <c r="K23" s="28" t="n">
        <v>3.79999999999999982</v>
      </c>
    </row>
    <row r="24" spans="1:11" ht="47" customHeight="1">
      <c r="A24" s="8" t="n">
        <v>16</v>
      </c>
      <c r="B24" s="8"/>
      <c r="C24" s="27">
        <v>3.94</v>
      </c>
      <c r="D24" s="27">
        <v>3.95</v>
      </c>
      <c r="E24" s="27" t="n">
        <v>3.91999999999999993</v>
      </c>
      <c r="F24" s="27" t="n">
        <v>3.95999999999999996</v>
      </c>
      <c r="G24" s="27" t="n">
        <v>3.93000000000000007</v>
      </c>
      <c r="H24" s="29">
        <f>IF(COUNT(C24:G24)&lt;&gt;5,"",AVERAGE(C24:G24))</f>
      </c>
      <c r="I24" s="29">
        <f>IF(COUNT(C24:G24)&lt;&gt;5,"",MAX(C24:G24)-MIN(C24:G24))</f>
      </c>
      <c r="J24" s="29" t="n">
        <v>4.20000000000000018</v>
      </c>
      <c r="K24" s="29" t="n">
        <v>3.79999999999999982</v>
      </c>
    </row>
    <row r="25" spans="1:11" ht="47" customHeight="1">
      <c r="A25" s="5" t="n">
        <v>17</v>
      </c>
      <c r="B25" s="5"/>
      <c r="C25" s="27">
        <v>3.94</v>
      </c>
      <c r="D25" s="27">
        <v>3.95</v>
      </c>
      <c r="E25" s="27" t="n">
        <v>3.91999999999999993</v>
      </c>
      <c r="F25" s="27" t="n">
        <v>3.95999999999999996</v>
      </c>
      <c r="G25" s="27" t="n">
        <v>3.93000000000000007</v>
      </c>
      <c r="H25" s="28">
        <f>IF(COUNT(C25:G25)&lt;&gt;5,"",AVERAGE(C25:G25))</f>
      </c>
      <c r="I25" s="28">
        <f>IF(COUNT(C25:G25)&lt;&gt;5,"",MAX(C25:G25)-MIN(C25:G25))</f>
      </c>
      <c r="J25" s="28" t="n">
        <v>4.20000000000000018</v>
      </c>
      <c r="K25" s="28" t="n">
        <v>3.79999999999999982</v>
      </c>
    </row>
    <row r="26" spans="1:11" ht="47" customHeight="1">
      <c r="A26" s="8" t="n">
        <v>18</v>
      </c>
      <c r="B26" s="8"/>
      <c r="C26" s="27">
        <v>3.94</v>
      </c>
      <c r="D26" s="27">
        <v>3.95</v>
      </c>
      <c r="E26" s="27" t="n">
        <v>3.91999999999999993</v>
      </c>
      <c r="F26" s="27" t="n">
        <v>3.95999999999999996</v>
      </c>
      <c r="G26" s="27" t="n">
        <v>3.93000000000000007</v>
      </c>
      <c r="H26" s="29">
        <f>IF(COUNT(C26:G26)&lt;&gt;5,"",AVERAGE(C26:G26))</f>
      </c>
      <c r="I26" s="29">
        <f>IF(COUNT(C26:G26)&lt;&gt;5,"",MAX(C26:G26)-MIN(C26:G26))</f>
      </c>
      <c r="J26" s="29" t="n">
        <v>4.20000000000000018</v>
      </c>
      <c r="K26" s="29" t="n">
        <v>3.79999999999999982</v>
      </c>
    </row>
    <row r="27" spans="1:11" ht="47" customHeight="1">
      <c r="A27" s="5" t="n">
        <v>19</v>
      </c>
      <c r="B27" s="5"/>
      <c r="C27" s="27">
        <v>3.94</v>
      </c>
      <c r="D27" s="27">
        <v>3.95</v>
      </c>
      <c r="E27" s="27" t="n">
        <v>3.91999999999999993</v>
      </c>
      <c r="F27" s="27" t="n">
        <v>3.95999999999999996</v>
      </c>
      <c r="G27" s="27" t="n">
        <v>3.93000000000000007</v>
      </c>
      <c r="H27" s="28">
        <f>IF(COUNT(C27:G27)&lt;&gt;5,"",AVERAGE(C27:G27))</f>
      </c>
      <c r="I27" s="28">
        <f>IF(COUNT(C27:G27)&lt;&gt;5,"",MAX(C27:G27)-MIN(C27:G27))</f>
      </c>
      <c r="J27" s="28" t="n">
        <v>4.20000000000000018</v>
      </c>
      <c r="K27" s="28" t="n">
        <v>3.79999999999999982</v>
      </c>
    </row>
    <row r="28" spans="1:11" ht="47" customHeight="1">
      <c r="A28" s="8" t="n">
        <v>20</v>
      </c>
      <c r="B28" s="8"/>
      <c r="C28" s="27">
        <v>3.94</v>
      </c>
      <c r="D28" s="27">
        <v>3.95</v>
      </c>
      <c r="E28" s="27" t="n">
        <v>3.91999999999999993</v>
      </c>
      <c r="F28" s="27" t="n">
        <v>3.95999999999999996</v>
      </c>
      <c r="G28" s="27" t="n">
        <v>3.93000000000000007</v>
      </c>
      <c r="H28" s="29">
        <f>IF(COUNT(C28:G28)&lt;&gt;5,"",AVERAGE(C28:G28))</f>
      </c>
      <c r="I28" s="29">
        <f>IF(COUNT(C28:G28)&lt;&gt;5,"",MAX(C28:G28)-MIN(C28:G28))</f>
      </c>
      <c r="J28" s="29" t="n">
        <v>4.20000000000000018</v>
      </c>
      <c r="K28" s="29" t="n">
        <v>3.79999999999999982</v>
      </c>
    </row>
    <row r="29" spans="1:11" ht="47" customHeight="1">
      <c r="A29" s="5" t="n">
        <v>21</v>
      </c>
      <c r="B29" s="5"/>
      <c r="C29" s="27">
        <v>3.94</v>
      </c>
      <c r="D29" s="27">
        <v>3.95</v>
      </c>
      <c r="E29" s="27" t="n">
        <v>3.91999999999999993</v>
      </c>
      <c r="F29" s="27" t="n">
        <v>3.95999999999999996</v>
      </c>
      <c r="G29" s="27" t="n">
        <v>3.93000000000000007</v>
      </c>
      <c r="H29" s="28">
        <f>IF(COUNT(C29:G29)&lt;&gt;5,"",AVERAGE(C29:G29))</f>
      </c>
      <c r="I29" s="28">
        <f>IF(COUNT(C29:G29)&lt;&gt;5,"",MAX(C29:G29)-MIN(C29:G29))</f>
      </c>
      <c r="J29" s="28" t="n">
        <v>4.20000000000000018</v>
      </c>
      <c r="K29" s="28" t="n">
        <v>3.79999999999999982</v>
      </c>
    </row>
    <row r="30" spans="1:11" ht="47" customHeight="1">
      <c r="A30" s="8" t="n">
        <v>22</v>
      </c>
      <c r="B30" s="8"/>
      <c r="C30" s="27">
        <v>3.94</v>
      </c>
      <c r="D30" s="27">
        <v>3.95</v>
      </c>
      <c r="E30" s="27" t="n">
        <v>3.91999999999999993</v>
      </c>
      <c r="F30" s="27" t="n">
        <v>3.95999999999999996</v>
      </c>
      <c r="G30" s="27" t="n">
        <v>3.93000000000000007</v>
      </c>
      <c r="H30" s="29">
        <f>IF(COUNT(C30:G30)&lt;&gt;5,"",AVERAGE(C30:G30))</f>
      </c>
      <c r="I30" s="29">
        <f>IF(COUNT(C30:G30)&lt;&gt;5,"",MAX(C30:G30)-MIN(C30:G30))</f>
      </c>
      <c r="J30" s="29" t="n">
        <v>4.20000000000000018</v>
      </c>
      <c r="K30" s="29" t="n">
        <v>3.79999999999999982</v>
      </c>
    </row>
    <row r="31" spans="1:11" ht="47" customHeight="1">
      <c r="A31" s="5" t="n">
        <v>23</v>
      </c>
      <c r="B31" s="5"/>
      <c r="C31" s="27">
        <v>3.94</v>
      </c>
      <c r="D31" s="27">
        <v>3.95</v>
      </c>
      <c r="E31" s="27" t="n">
        <v>3.91999999999999993</v>
      </c>
      <c r="F31" s="27" t="n">
        <v>3.95999999999999996</v>
      </c>
      <c r="G31" s="27" t="n">
        <v>3.93000000000000007</v>
      </c>
      <c r="H31" s="28">
        <f>IF(COUNT(C31:G31)&lt;&gt;5,"",AVERAGE(C31:G31))</f>
      </c>
      <c r="I31" s="28">
        <f>IF(COUNT(C31:G31)&lt;&gt;5,"",MAX(C31:G31)-MIN(C31:G31))</f>
      </c>
      <c r="J31" s="28" t="n">
        <v>4.20000000000000018</v>
      </c>
      <c r="K31" s="28" t="n">
        <v>3.79999999999999982</v>
      </c>
    </row>
    <row r="32" spans="1:11" ht="47" customHeight="1">
      <c r="A32" s="8" t="n">
        <v>24</v>
      </c>
      <c r="B32" s="8"/>
      <c r="C32" s="27">
        <v>3.94</v>
      </c>
      <c r="D32" s="27">
        <v>3.95</v>
      </c>
      <c r="E32" s="27" t="n">
        <v>3.91999999999999993</v>
      </c>
      <c r="F32" s="27" t="n">
        <v>3.95999999999999996</v>
      </c>
      <c r="G32" s="27" t="n">
        <v>3.93000000000000007</v>
      </c>
      <c r="H32" s="29">
        <f>IF(COUNT(C32:G32)&lt;&gt;5,"",AVERAGE(C32:G32))</f>
      </c>
      <c r="I32" s="29">
        <f>IF(COUNT(C32:G32)&lt;&gt;5,"",MAX(C32:G32)-MIN(C32:G32))</f>
      </c>
      <c r="J32" s="29" t="n">
        <v>4.20000000000000018</v>
      </c>
      <c r="K32" s="29" t="n">
        <v>3.79999999999999982</v>
      </c>
    </row>
    <row r="33" spans="1:11" ht="47" customHeight="1">
      <c r="A33" s="5" t="n">
        <v>25</v>
      </c>
      <c r="B33" s="5"/>
      <c r="C33" s="27">
        <v>3.94</v>
      </c>
      <c r="D33" s="27">
        <v>3.95</v>
      </c>
      <c r="E33" s="27" t="n">
        <v>3.91999999999999993</v>
      </c>
      <c r="F33" s="27" t="n">
        <v>3.95999999999999996</v>
      </c>
      <c r="G33" s="27" t="n">
        <v>3.93000000000000007</v>
      </c>
      <c r="H33" s="28">
        <f>IF(COUNT(C33:G33)&lt;&gt;5,"",AVERAGE(C33:G33))</f>
      </c>
      <c r="I33" s="28">
        <f>IF(COUNT(C33:G33)&lt;&gt;5,"",MAX(C33:G33)-MIN(C33:G33))</f>
      </c>
      <c r="J33" s="28" t="n">
        <v>4.20000000000000018</v>
      </c>
      <c r="K33" s="28" t="n">
        <v>3.79999999999999982</v>
      </c>
    </row>
    <row r="34" spans="1:8" ht="19" customHeight="1">
      <c r="A34" s="10" t="s">
        <v>30</v>
      </c>
      <c r="C34" s="30"/>
      <c r="D34" s="30"/>
      <c r="E34" s="30"/>
      <c r="F34" s="30"/>
      <c r="G34" s="30"/>
      <c r="H34" s="31">
        <f>IF(COUNT(H9:H33)=0,"",AVERAGE(H9:H33))</f>
      </c>
      <c r="I34" s="30"/>
      <c r="J34" s="30"/>
      <c r="K34" s="30"/>
    </row>
    <row r="35" spans="1:9" ht="19" customHeight="1">
      <c r="A35" s="10" t="s">
        <v>31</v>
      </c>
      <c r="C35" s="30"/>
      <c r="D35" s="30"/>
      <c r="E35" s="30"/>
      <c r="F35" s="30"/>
      <c r="G35" s="30"/>
      <c r="H35" s="30"/>
      <c r="I35" s="31">
        <f>IF(COUNT(I9:I33)=0,"",AVERAGE(I9:I33))</f>
      </c>
      <c r="J35" s="30"/>
      <c r="K35" s="30"/>
    </row>
    <row r="37" spans="1:1">
      <c r="A37" s="12" t="s">
        <v>32</v>
      </c>
    </row>
    <row r="39" spans="1:5" ht="33" customHeight="1">
      <c r="A39" s="2" t="s">
        <v>33</v>
      </c>
      <c r="C39" s="32">
        <f>IF(COUNT(I35)=0,"",I35/2.326)</f>
      </c>
      <c r="E39" s="2" t="inlineStr">
        <is>
          <t xml:space="preserve">n=5 için d2=2,326; A2=0,577; D3=0; D4=2,114.</t>
        </is>
      </c>
    </row>
    <row r="40" spans="1:5" ht="47" customHeight="1">
      <c r="A40" s="2" t="s">
        <v>35</v>
      </c>
      <c r="C40" s="33">
        <f>IFERROR(IF(AND(C39&gt;0,COUNT(J9:K9)=2,J9&gt;K9),(J9-K9)/(6*C39),""),"")</f>
      </c>
      <c r="E40" s="15" t="inlineStr">
        <is>
          <t xml:space="preserve">Cp/Cpk yalnız kararlı proses, geçerli MSA ve uygun dağılım varsayımlarıyla yorumlanır.</t>
        </is>
      </c>
    </row>
    <row r="41" spans="1:5" ht="47" customHeight="1">
      <c r="A41" s="2" t="s">
        <v>37</v>
      </c>
      <c r="C41" s="33">
        <f>IFERROR(IF(AND(C39&gt;0,COUNT(J9:K9)=2,J9&gt;K9),MIN((J9-H34)/(3*C39),(H34-K9)/(3*C39)),""),"")</f>
      </c>
      <c r="E41" s="16" t="inlineStr">
        <is>
          <t xml:space="preserve">Kabul eşiği güncel müşteri/ürün şartından alınır; sonuç otomatik onay değildir.</t>
        </is>
      </c>
    </row>
    <row r="42" spans="5:5" ht="61" customHeight="1">
      <c r="E42" s="17" t="inlineStr">
        <is>
          <t xml:space="preserve">Kaynakta yinelenen örnek ölçümler vardır; bunlar gerçek üretim yeterlilik kanıtı sayılmaz.</t>
        </is>
      </c>
    </row>
    <row r="44" ht="19" customHeight="1">
      <c r="A44" t="inlineStr">
        <is>
          <t xml:space="preserve">Xbar üst kontrol sınırı</t>
        </is>
      </c>
      <c r="C44" s="30">
        <f>IF(COUNT(H34,I35)&lt;2,"",H34+0.577*I35)</f>
      </c>
      <c r="E44" t="inlineStr">
        <is>
          <t xml:space="preserve">Xbar alt kontrol sınırı</t>
        </is>
      </c>
      <c r="H44" s="30">
        <f>IF(COUNT(H34,I35)&lt;2,"",H34-0.577*I35)</f>
      </c>
    </row>
    <row r="45" ht="19" customHeight="1">
      <c r="A45" t="inlineStr">
        <is>
          <t xml:space="preserve">R üst kontrol sınırı</t>
        </is>
      </c>
      <c r="C45" s="30">
        <f>IF(COUNT(I35)=0,"",2.114*I35)</f>
      </c>
      <c r="E45" t="inlineStr">
        <is>
          <t xml:space="preserve">R alt kontrol sınırı</t>
        </is>
      </c>
      <c r="H45" s="30">
        <f>IF(COUNT(I35)=0,"",0*I35)</f>
      </c>
    </row>
    <row r="47" ht="89" customHeight="1">
      <c r="A47" t="inlineStr">
        <is>
          <t xml:space="preserve">Kontrol sınırları kararlı başlangıç döneminden onaylanıp sonraki izlemede sabitlenir. Özel neden araştırılmadan limitler genişletilmez; tolerans ve kontrol limitleri ayrı tutulur.</t>
        </is>
      </c>
    </row>
    <row r="48" ht="75" customHeight="1">
      <c r="A48" t="inlineStr">
        <is>
          <t xml:space="preserve">Limit dışı veya seçilen sinyal kuralı ihlalinde kontrol planı reaksiyonu, ürün kapsamı ve yetkili yeniden başlatma uygulanır.</t>
        </is>
      </c>
    </row>
  </sheetData>
  <mergeCells count="4">
    <mergeCell ref="A1:K1"/>
    <mergeCell ref="A34:G34"/>
    <mergeCell ref="A35:G35"/>
    <mergeCell ref="A37:D37"/>
  </mergeCells>
  <printOptions>
    <extLst>
      <ext uri="smNativeData">
        <pm:pageFlags xmlns:pm="smNativeData" id="1789495586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 differentOddEven="0" differentFirst="0" scaleWithDoc="0" alignWithMargins="1">
    <extLst>
      <ext uri="smNativeData">
        <pm:header xmlns:pm="smNativeData" id="1789495586" l="56" r="56" t="56" b="56" borderId="0" fillId="0" vertical="0"/>
        <pm:footer xmlns:pm="smNativeData" id="1789495586" l="56" r="56" t="56" b="56" borderId="0" fillId="0" vertical="2"/>
        <pm:paperBin xmlns:pm="smNativeData" id="1789495586" Id="0" type="0" value="0"/>
        <pm:paperBin xmlns:pm="smNativeData" id="1789495586" Id="1" type="0" value="0"/>
      </ext>
    </extLst>
    <oddHeader>&amp;L&amp;"Arial,Bold"&amp;11EKG-KLT-FRM-33&amp;C&amp;"Arial,Regular"&amp;11Cam Hattı SPC Analiz Formları - Xbar R ve P Kartı</oddHeader>
    <oddFooter>&amp;L&amp;"Arial,Regular"&amp;11İlk Yayın: 04.05.2026 | Revizyon: 19.10.2026&amp;R&amp;11Sayfa &amp;P / &amp;N</oddFooter>
  </headerFooter>
  <extLst>
    <ext uri="smNativeData">
      <pm:sheetPrefs xmlns:pm="smNativeData" day="178949558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/>
  <dimension ref="A1:G27"/>
  <sheetViews>
    <sheetView tabSelected="1" view="normal" workbookViewId="0">
      <selection activeCell="C5" sqref="C5"/>
    </sheetView>
  </sheetViews>
  <sheetFormatPr defaultRowHeight="15.40"/>
  <cols>
    <col min="1" max="1" width="75.000000" customWidth="1"/>
    <col min="2" max="2" width="31.000000" customWidth="1"/>
    <col min="3" max="3" width="23.000000" customWidth="1"/>
    <col min="4" max="4" width="20.000000" customWidth="1"/>
    <col min="5" max="5" width="27.000000" customWidth="1"/>
    <col min="6" max="6" width="23.000000" customWidth="1"/>
    <col min="7" max="7" width="27.000000" customWidth="1"/>
  </cols>
  <sheetData>
    <row r="1" spans="1:1" ht="40" customHeight="1">
      <c r="A1" s="18" t="s">
        <v>40</v>
      </c>
    </row>
    <row r="4" spans="1:7" ht="28" customHeight="1">
      <c r="A4" s="19" t="s">
        <v>41</v>
      </c>
      <c r="B4" s="19" t="s">
        <v>42</v>
      </c>
      <c r="C4" s="19" t="s">
        <v>43</v>
      </c>
      <c r="D4" s="19" t="s">
        <v>44</v>
      </c>
      <c r="E4" s="19" t="s">
        <v>45</v>
      </c>
      <c r="F4" s="19" t="s">
        <v>46</v>
      </c>
      <c r="G4" s="19" t="s">
        <v>47</v>
      </c>
    </row>
    <row r="5" spans="1:7" ht="19" customHeight="1">
      <c r="A5" s="5" t="n">
        <v>1</v>
      </c>
      <c r="B5" s="34" t="n">
        <v>100</v>
      </c>
      <c r="C5" s="34"/>
      <c r="D5" s="36">
        <f>IF(COUNT(B5:C5)&lt;&gt;2,"",IF(AND(B5&gt;0,C5&gt;=0,C5&lt;=B5,MOD(B5,1)=0,MOD(C5,1)=0),C5/B5,""))</f>
      </c>
      <c r="E5" s="36">
        <f>IF(COUNT(D5,F5)&lt;2,"",MIN(1,F5+3*SQRT(F5*(1-F5)/B5)))</f>
      </c>
      <c r="F5" s="36">
        <f>IFERROR(IF(COUNT($D$5:$D$24)=0,"",SUMPRODUCT(--ISNUMBER($D$5:$D$24),$C$5:$C$24)/SUMPRODUCT(--ISNUMBER($D$5:$D$24),$B$5:$B$24)),"")</f>
      </c>
      <c r="G5" s="36">
        <f>IF(COUNT(D5,F5)&lt;2,"",MAX(0,F5-3*SQRT(F5*(1-F5)/B5)))</f>
      </c>
    </row>
    <row r="6" spans="1:7" ht="19" customHeight="1">
      <c r="A6" s="8" t="n">
        <v>2</v>
      </c>
      <c r="B6" s="35" t="n">
        <v>100</v>
      </c>
      <c r="C6" s="35"/>
      <c r="D6" s="37">
        <f>IF(COUNT(B6:C6)&lt;&gt;2,"",IF(AND(B6&gt;0,C6&gt;=0,C6&lt;=B6,MOD(B6,1)=0,MOD(C6,1)=0),C6/B6,""))</f>
      </c>
      <c r="E6" s="37">
        <f>IF(COUNT(D6,F6)&lt;2,"",MIN(1,F6+3*SQRT(F6*(1-F6)/B6)))</f>
      </c>
      <c r="F6" s="37">
        <f>IFERROR(IF(COUNT($D$5:$D$24)=0,"",SUMPRODUCT(--ISNUMBER($D$5:$D$24),$C$5:$C$24)/SUMPRODUCT(--ISNUMBER($D$5:$D$24),$B$5:$B$24)),"")</f>
      </c>
      <c r="G6" s="37">
        <f>IF(COUNT(D6,F6)&lt;2,"",MAX(0,F6-3*SQRT(F6*(1-F6)/B6)))</f>
      </c>
    </row>
    <row r="7" spans="1:7" ht="19" customHeight="1">
      <c r="A7" s="5" t="n">
        <v>3</v>
      </c>
      <c r="B7" s="34" t="n">
        <v>100</v>
      </c>
      <c r="C7" s="34"/>
      <c r="D7" s="36">
        <f>IF(COUNT(B7:C7)&lt;&gt;2,"",IF(AND(B7&gt;0,C7&gt;=0,C7&lt;=B7,MOD(B7,1)=0,MOD(C7,1)=0),C7/B7,""))</f>
      </c>
      <c r="E7" s="36">
        <f>IF(COUNT(D7,F7)&lt;2,"",MIN(1,F7+3*SQRT(F7*(1-F7)/B7)))</f>
      </c>
      <c r="F7" s="36">
        <f>IFERROR(IF(COUNT($D$5:$D$24)=0,"",SUMPRODUCT(--ISNUMBER($D$5:$D$24),$C$5:$C$24)/SUMPRODUCT(--ISNUMBER($D$5:$D$24),$B$5:$B$24)),"")</f>
      </c>
      <c r="G7" s="36">
        <f>IF(COUNT(D7,F7)&lt;2,"",MAX(0,F7-3*SQRT(F7*(1-F7)/B7)))</f>
      </c>
    </row>
    <row r="8" spans="1:7" ht="19" customHeight="1">
      <c r="A8" s="8" t="n">
        <v>4</v>
      </c>
      <c r="B8" s="35" t="n">
        <v>100</v>
      </c>
      <c r="C8" s="35"/>
      <c r="D8" s="37">
        <f>IF(COUNT(B8:C8)&lt;&gt;2,"",IF(AND(B8&gt;0,C8&gt;=0,C8&lt;=B8,MOD(B8,1)=0,MOD(C8,1)=0),C8/B8,""))</f>
      </c>
      <c r="E8" s="37">
        <f>IF(COUNT(D8,F8)&lt;2,"",MIN(1,F8+3*SQRT(F8*(1-F8)/B8)))</f>
      </c>
      <c r="F8" s="37">
        <f>IFERROR(IF(COUNT($D$5:$D$24)=0,"",SUMPRODUCT(--ISNUMBER($D$5:$D$24),$C$5:$C$24)/SUMPRODUCT(--ISNUMBER($D$5:$D$24),$B$5:$B$24)),"")</f>
      </c>
      <c r="G8" s="37">
        <f>IF(COUNT(D8,F8)&lt;2,"",MAX(0,F8-3*SQRT(F8*(1-F8)/B8)))</f>
      </c>
    </row>
    <row r="9" spans="1:7" ht="19" customHeight="1">
      <c r="A9" s="5" t="n">
        <v>5</v>
      </c>
      <c r="B9" s="34" t="n">
        <v>100</v>
      </c>
      <c r="C9" s="34"/>
      <c r="D9" s="36">
        <f>IF(COUNT(B9:C9)&lt;&gt;2,"",IF(AND(B9&gt;0,C9&gt;=0,C9&lt;=B9,MOD(B9,1)=0,MOD(C9,1)=0),C9/B9,""))</f>
      </c>
      <c r="E9" s="36">
        <f>IF(COUNT(D9,F9)&lt;2,"",MIN(1,F9+3*SQRT(F9*(1-F9)/B9)))</f>
      </c>
      <c r="F9" s="36">
        <f>IFERROR(IF(COUNT($D$5:$D$24)=0,"",SUMPRODUCT(--ISNUMBER($D$5:$D$24),$C$5:$C$24)/SUMPRODUCT(--ISNUMBER($D$5:$D$24),$B$5:$B$24)),"")</f>
      </c>
      <c r="G9" s="36">
        <f>IF(COUNT(D9,F9)&lt;2,"",MAX(0,F9-3*SQRT(F9*(1-F9)/B9)))</f>
      </c>
    </row>
    <row r="10" spans="1:7" ht="19" customHeight="1">
      <c r="A10" s="8" t="n">
        <v>6</v>
      </c>
      <c r="B10" s="35" t="n">
        <v>100</v>
      </c>
      <c r="C10" s="35"/>
      <c r="D10" s="37">
        <f>IF(COUNT(B10:C10)&lt;&gt;2,"",IF(AND(B10&gt;0,C10&gt;=0,C10&lt;=B10,MOD(B10,1)=0,MOD(C10,1)=0),C10/B10,""))</f>
      </c>
      <c r="E10" s="37">
        <f>IF(COUNT(D10,F10)&lt;2,"",MIN(1,F10+3*SQRT(F10*(1-F10)/B10)))</f>
      </c>
      <c r="F10" s="37">
        <f>IFERROR(IF(COUNT($D$5:$D$24)=0,"",SUMPRODUCT(--ISNUMBER($D$5:$D$24),$C$5:$C$24)/SUMPRODUCT(--ISNUMBER($D$5:$D$24),$B$5:$B$24)),"")</f>
      </c>
      <c r="G10" s="37">
        <f>IF(COUNT(D10,F10)&lt;2,"",MAX(0,F10-3*SQRT(F10*(1-F10)/B10)))</f>
      </c>
    </row>
    <row r="11" spans="1:7" ht="19" customHeight="1">
      <c r="A11" s="5" t="n">
        <v>7</v>
      </c>
      <c r="B11" s="34" t="n">
        <v>100</v>
      </c>
      <c r="C11" s="34"/>
      <c r="D11" s="36">
        <f>IF(COUNT(B11:C11)&lt;&gt;2,"",IF(AND(B11&gt;0,C11&gt;=0,C11&lt;=B11,MOD(B11,1)=0,MOD(C11,1)=0),C11/B11,""))</f>
      </c>
      <c r="E11" s="36">
        <f>IF(COUNT(D11,F11)&lt;2,"",MIN(1,F11+3*SQRT(F11*(1-F11)/B11)))</f>
      </c>
      <c r="F11" s="36">
        <f>IFERROR(IF(COUNT($D$5:$D$24)=0,"",SUMPRODUCT(--ISNUMBER($D$5:$D$24),$C$5:$C$24)/SUMPRODUCT(--ISNUMBER($D$5:$D$24),$B$5:$B$24)),"")</f>
      </c>
      <c r="G11" s="36">
        <f>IF(COUNT(D11,F11)&lt;2,"",MAX(0,F11-3*SQRT(F11*(1-F11)/B11)))</f>
      </c>
    </row>
    <row r="12" spans="1:7" ht="19" customHeight="1">
      <c r="A12" s="8" t="n">
        <v>8</v>
      </c>
      <c r="B12" s="35" t="n">
        <v>100</v>
      </c>
      <c r="C12" s="35"/>
      <c r="D12" s="37">
        <f>IF(COUNT(B12:C12)&lt;&gt;2,"",IF(AND(B12&gt;0,C12&gt;=0,C12&lt;=B12,MOD(B12,1)=0,MOD(C12,1)=0),C12/B12,""))</f>
      </c>
      <c r="E12" s="37">
        <f>IF(COUNT(D12,F12)&lt;2,"",MIN(1,F12+3*SQRT(F12*(1-F12)/B12)))</f>
      </c>
      <c r="F12" s="37">
        <f>IFERROR(IF(COUNT($D$5:$D$24)=0,"",SUMPRODUCT(--ISNUMBER($D$5:$D$24),$C$5:$C$24)/SUMPRODUCT(--ISNUMBER($D$5:$D$24),$B$5:$B$24)),"")</f>
      </c>
      <c r="G12" s="37">
        <f>IF(COUNT(D12,F12)&lt;2,"",MAX(0,F12-3*SQRT(F12*(1-F12)/B12)))</f>
      </c>
    </row>
    <row r="13" spans="1:7" ht="19" customHeight="1">
      <c r="A13" s="5" t="n">
        <v>9</v>
      </c>
      <c r="B13" s="34" t="n">
        <v>100</v>
      </c>
      <c r="C13" s="34"/>
      <c r="D13" s="36">
        <f>IF(COUNT(B13:C13)&lt;&gt;2,"",IF(AND(B13&gt;0,C13&gt;=0,C13&lt;=B13,MOD(B13,1)=0,MOD(C13,1)=0),C13/B13,""))</f>
      </c>
      <c r="E13" s="36">
        <f>IF(COUNT(D13,F13)&lt;2,"",MIN(1,F13+3*SQRT(F13*(1-F13)/B13)))</f>
      </c>
      <c r="F13" s="36">
        <f>IFERROR(IF(COUNT($D$5:$D$24)=0,"",SUMPRODUCT(--ISNUMBER($D$5:$D$24),$C$5:$C$24)/SUMPRODUCT(--ISNUMBER($D$5:$D$24),$B$5:$B$24)),"")</f>
      </c>
      <c r="G13" s="36">
        <f>IF(COUNT(D13,F13)&lt;2,"",MAX(0,F13-3*SQRT(F13*(1-F13)/B13)))</f>
      </c>
    </row>
    <row r="14" spans="1:7" ht="19" customHeight="1">
      <c r="A14" s="8" t="n">
        <v>10</v>
      </c>
      <c r="B14" s="35" t="n">
        <v>100</v>
      </c>
      <c r="C14" s="35"/>
      <c r="D14" s="37">
        <f>IF(COUNT(B14:C14)&lt;&gt;2,"",IF(AND(B14&gt;0,C14&gt;=0,C14&lt;=B14,MOD(B14,1)=0,MOD(C14,1)=0),C14/B14,""))</f>
      </c>
      <c r="E14" s="37">
        <f>IF(COUNT(D14,F14)&lt;2,"",MIN(1,F14+3*SQRT(F14*(1-F14)/B14)))</f>
      </c>
      <c r="F14" s="37">
        <f>IFERROR(IF(COUNT($D$5:$D$24)=0,"",SUMPRODUCT(--ISNUMBER($D$5:$D$24),$C$5:$C$24)/SUMPRODUCT(--ISNUMBER($D$5:$D$24),$B$5:$B$24)),"")</f>
      </c>
      <c r="G14" s="37">
        <f>IF(COUNT(D14,F14)&lt;2,"",MAX(0,F14-3*SQRT(F14*(1-F14)/B14)))</f>
      </c>
    </row>
    <row r="15" spans="1:7" ht="19" customHeight="1">
      <c r="A15" s="5" t="n">
        <v>11</v>
      </c>
      <c r="B15" s="34" t="n">
        <v>100</v>
      </c>
      <c r="C15" s="34"/>
      <c r="D15" s="36">
        <f>IF(COUNT(B15:C15)&lt;&gt;2,"",IF(AND(B15&gt;0,C15&gt;=0,C15&lt;=B15,MOD(B15,1)=0,MOD(C15,1)=0),C15/B15,""))</f>
      </c>
      <c r="E15" s="36">
        <f>IF(COUNT(D15,F15)&lt;2,"",MIN(1,F15+3*SQRT(F15*(1-F15)/B15)))</f>
      </c>
      <c r="F15" s="36">
        <f>IFERROR(IF(COUNT($D$5:$D$24)=0,"",SUMPRODUCT(--ISNUMBER($D$5:$D$24),$C$5:$C$24)/SUMPRODUCT(--ISNUMBER($D$5:$D$24),$B$5:$B$24)),"")</f>
      </c>
      <c r="G15" s="36">
        <f>IF(COUNT(D15,F15)&lt;2,"",MAX(0,F15-3*SQRT(F15*(1-F15)/B15)))</f>
      </c>
    </row>
    <row r="16" spans="1:7" ht="19" customHeight="1">
      <c r="A16" s="8" t="n">
        <v>12</v>
      </c>
      <c r="B16" s="35" t="n">
        <v>100</v>
      </c>
      <c r="C16" s="35"/>
      <c r="D16" s="37">
        <f>IF(COUNT(B16:C16)&lt;&gt;2,"",IF(AND(B16&gt;0,C16&gt;=0,C16&lt;=B16,MOD(B16,1)=0,MOD(C16,1)=0),C16/B16,""))</f>
      </c>
      <c r="E16" s="37">
        <f>IF(COUNT(D16,F16)&lt;2,"",MIN(1,F16+3*SQRT(F16*(1-F16)/B16)))</f>
      </c>
      <c r="F16" s="37">
        <f>IFERROR(IF(COUNT($D$5:$D$24)=0,"",SUMPRODUCT(--ISNUMBER($D$5:$D$24),$C$5:$C$24)/SUMPRODUCT(--ISNUMBER($D$5:$D$24),$B$5:$B$24)),"")</f>
      </c>
      <c r="G16" s="37">
        <f>IF(COUNT(D16,F16)&lt;2,"",MAX(0,F16-3*SQRT(F16*(1-F16)/B16)))</f>
      </c>
    </row>
    <row r="17" spans="1:7" ht="19" customHeight="1">
      <c r="A17" s="5" t="n">
        <v>13</v>
      </c>
      <c r="B17" s="34" t="n">
        <v>100</v>
      </c>
      <c r="C17" s="34"/>
      <c r="D17" s="36">
        <f>IF(COUNT(B17:C17)&lt;&gt;2,"",IF(AND(B17&gt;0,C17&gt;=0,C17&lt;=B17,MOD(B17,1)=0,MOD(C17,1)=0),C17/B17,""))</f>
      </c>
      <c r="E17" s="36">
        <f>IF(COUNT(D17,F17)&lt;2,"",MIN(1,F17+3*SQRT(F17*(1-F17)/B17)))</f>
      </c>
      <c r="F17" s="36">
        <f>IFERROR(IF(COUNT($D$5:$D$24)=0,"",SUMPRODUCT(--ISNUMBER($D$5:$D$24),$C$5:$C$24)/SUMPRODUCT(--ISNUMBER($D$5:$D$24),$B$5:$B$24)),"")</f>
      </c>
      <c r="G17" s="36">
        <f>IF(COUNT(D17,F17)&lt;2,"",MAX(0,F17-3*SQRT(F17*(1-F17)/B17)))</f>
      </c>
    </row>
    <row r="18" spans="1:7" ht="19" customHeight="1">
      <c r="A18" s="8" t="n">
        <v>14</v>
      </c>
      <c r="B18" s="35" t="n">
        <v>100</v>
      </c>
      <c r="C18" s="35"/>
      <c r="D18" s="37">
        <f>IF(COUNT(B18:C18)&lt;&gt;2,"",IF(AND(B18&gt;0,C18&gt;=0,C18&lt;=B18,MOD(B18,1)=0,MOD(C18,1)=0),C18/B18,""))</f>
      </c>
      <c r="E18" s="37">
        <f>IF(COUNT(D18,F18)&lt;2,"",MIN(1,F18+3*SQRT(F18*(1-F18)/B18)))</f>
      </c>
      <c r="F18" s="37">
        <f>IFERROR(IF(COUNT($D$5:$D$24)=0,"",SUMPRODUCT(--ISNUMBER($D$5:$D$24),$C$5:$C$24)/SUMPRODUCT(--ISNUMBER($D$5:$D$24),$B$5:$B$24)),"")</f>
      </c>
      <c r="G18" s="37">
        <f>IF(COUNT(D18,F18)&lt;2,"",MAX(0,F18-3*SQRT(F18*(1-F18)/B18)))</f>
      </c>
    </row>
    <row r="19" spans="1:7" ht="19" customHeight="1">
      <c r="A19" s="5" t="n">
        <v>15</v>
      </c>
      <c r="B19" s="34" t="n">
        <v>100</v>
      </c>
      <c r="C19" s="34"/>
      <c r="D19" s="36">
        <f>IF(COUNT(B19:C19)&lt;&gt;2,"",IF(AND(B19&gt;0,C19&gt;=0,C19&lt;=B19,MOD(B19,1)=0,MOD(C19,1)=0),C19/B19,""))</f>
      </c>
      <c r="E19" s="36">
        <f>IF(COUNT(D19,F19)&lt;2,"",MIN(1,F19+3*SQRT(F19*(1-F19)/B19)))</f>
      </c>
      <c r="F19" s="36">
        <f>IFERROR(IF(COUNT($D$5:$D$24)=0,"",SUMPRODUCT(--ISNUMBER($D$5:$D$24),$C$5:$C$24)/SUMPRODUCT(--ISNUMBER($D$5:$D$24),$B$5:$B$24)),"")</f>
      </c>
      <c r="G19" s="36">
        <f>IF(COUNT(D19,F19)&lt;2,"",MAX(0,F19-3*SQRT(F19*(1-F19)/B19)))</f>
      </c>
    </row>
    <row r="20" spans="1:7" ht="19" customHeight="1">
      <c r="A20" s="8" t="n">
        <v>16</v>
      </c>
      <c r="B20" s="35" t="n">
        <v>100</v>
      </c>
      <c r="C20" s="35"/>
      <c r="D20" s="37">
        <f>IF(COUNT(B20:C20)&lt;&gt;2,"",IF(AND(B20&gt;0,C20&gt;=0,C20&lt;=B20,MOD(B20,1)=0,MOD(C20,1)=0),C20/B20,""))</f>
      </c>
      <c r="E20" s="37">
        <f>IF(COUNT(D20,F20)&lt;2,"",MIN(1,F20+3*SQRT(F20*(1-F20)/B20)))</f>
      </c>
      <c r="F20" s="37">
        <f>IFERROR(IF(COUNT($D$5:$D$24)=0,"",SUMPRODUCT(--ISNUMBER($D$5:$D$24),$C$5:$C$24)/SUMPRODUCT(--ISNUMBER($D$5:$D$24),$B$5:$B$24)),"")</f>
      </c>
      <c r="G20" s="37">
        <f>IF(COUNT(D20,F20)&lt;2,"",MAX(0,F20-3*SQRT(F20*(1-F20)/B20)))</f>
      </c>
    </row>
    <row r="21" spans="1:7" ht="19" customHeight="1">
      <c r="A21" s="5" t="n">
        <v>17</v>
      </c>
      <c r="B21" s="34" t="n">
        <v>100</v>
      </c>
      <c r="C21" s="34"/>
      <c r="D21" s="36">
        <f>IF(COUNT(B21:C21)&lt;&gt;2,"",IF(AND(B21&gt;0,C21&gt;=0,C21&lt;=B21,MOD(B21,1)=0,MOD(C21,1)=0),C21/B21,""))</f>
      </c>
      <c r="E21" s="36">
        <f>IF(COUNT(D21,F21)&lt;2,"",MIN(1,F21+3*SQRT(F21*(1-F21)/B21)))</f>
      </c>
      <c r="F21" s="36">
        <f>IFERROR(IF(COUNT($D$5:$D$24)=0,"",SUMPRODUCT(--ISNUMBER($D$5:$D$24),$C$5:$C$24)/SUMPRODUCT(--ISNUMBER($D$5:$D$24),$B$5:$B$24)),"")</f>
      </c>
      <c r="G21" s="36">
        <f>IF(COUNT(D21,F21)&lt;2,"",MAX(0,F21-3*SQRT(F21*(1-F21)/B21)))</f>
      </c>
    </row>
    <row r="22" spans="1:7" ht="19" customHeight="1">
      <c r="A22" s="8" t="n">
        <v>18</v>
      </c>
      <c r="B22" s="35" t="n">
        <v>100</v>
      </c>
      <c r="C22" s="35"/>
      <c r="D22" s="37">
        <f>IF(COUNT(B22:C22)&lt;&gt;2,"",IF(AND(B22&gt;0,C22&gt;=0,C22&lt;=B22,MOD(B22,1)=0,MOD(C22,1)=0),C22/B22,""))</f>
      </c>
      <c r="E22" s="37">
        <f>IF(COUNT(D22,F22)&lt;2,"",MIN(1,F22+3*SQRT(F22*(1-F22)/B22)))</f>
      </c>
      <c r="F22" s="37">
        <f>IFERROR(IF(COUNT($D$5:$D$24)=0,"",SUMPRODUCT(--ISNUMBER($D$5:$D$24),$C$5:$C$24)/SUMPRODUCT(--ISNUMBER($D$5:$D$24),$B$5:$B$24)),"")</f>
      </c>
      <c r="G22" s="37">
        <f>IF(COUNT(D22,F22)&lt;2,"",MAX(0,F22-3*SQRT(F22*(1-F22)/B22)))</f>
      </c>
    </row>
    <row r="23" spans="1:7" ht="19" customHeight="1">
      <c r="A23" s="5" t="n">
        <v>19</v>
      </c>
      <c r="B23" s="34" t="n">
        <v>100</v>
      </c>
      <c r="C23" s="34"/>
      <c r="D23" s="36">
        <f>IF(COUNT(B23:C23)&lt;&gt;2,"",IF(AND(B23&gt;0,C23&gt;=0,C23&lt;=B23,MOD(B23,1)=0,MOD(C23,1)=0),C23/B23,""))</f>
      </c>
      <c r="E23" s="36">
        <f>IF(COUNT(D23,F23)&lt;2,"",MIN(1,F23+3*SQRT(F23*(1-F23)/B23)))</f>
      </c>
      <c r="F23" s="36">
        <f>IFERROR(IF(COUNT($D$5:$D$24)=0,"",SUMPRODUCT(--ISNUMBER($D$5:$D$24),$C$5:$C$24)/SUMPRODUCT(--ISNUMBER($D$5:$D$24),$B$5:$B$24)),"")</f>
      </c>
      <c r="G23" s="36">
        <f>IF(COUNT(D23,F23)&lt;2,"",MAX(0,F23-3*SQRT(F23*(1-F23)/B23)))</f>
      </c>
    </row>
    <row r="24" spans="1:7" ht="19" customHeight="1">
      <c r="A24" s="8" t="n">
        <v>20</v>
      </c>
      <c r="B24" s="35" t="n">
        <v>100</v>
      </c>
      <c r="C24" s="35"/>
      <c r="D24" s="37">
        <f>IF(COUNT(B24:C24)&lt;&gt;2,"",IF(AND(B24&gt;0,C24&gt;=0,C24&lt;=B24,MOD(B24,1)=0,MOD(C24,1)=0),C24/B24,""))</f>
      </c>
      <c r="E24" s="37">
        <f>IF(COUNT(D24,F24)&lt;2,"",MIN(1,F24+3*SQRT(F24*(1-F24)/B24)))</f>
      </c>
      <c r="F24" s="37">
        <f>IFERROR(IF(COUNT($D$5:$D$24)=0,"",SUMPRODUCT(--ISNUMBER($D$5:$D$24),$C$5:$C$24)/SUMPRODUCT(--ISNUMBER($D$5:$D$24),$B$5:$B$24)),"")</f>
      </c>
      <c r="G24" s="37">
        <f>IF(COUNT(D24,F24)&lt;2,"",MAX(0,F24-3*SQRT(F24*(1-F24)/B24)))</f>
      </c>
    </row>
    <row r="26" ht="61" customHeight="1">
      <c r="A26" t="inlineStr">
        <is>
          <t xml:space="preserve">n ve kusurlu parça sayısı birlikte kaydedilir; eksik veri sıfır kusur değildir. 0≤kusurlu≤n ve tam sayı gerekir. Aynı parçanın birden çok kusuru bir kusurlu parça sayılır.</t>
        </is>
      </c>
    </row>
    <row r="27" ht="100" customHeight="1">
      <c r="A27" t="inlineStr" s="39">
        <is>
          <t xml:space="preserve">Bu alan başlangıç döneminin ağırlıklı p ortalamasını hesaplar. Kararlı dönem ve limitler yetkili olarak sabitlenmeden seri izleme kararı verilmez. Geçersiz girişler incelenir; düşük beklenen sayımda uygun alternatif metot seçilir.</t>
        </is>
      </c>
    </row>
  </sheetData>
  <mergeCells count="2">
    <mergeCell ref="A1:G1"/>
    <mergeCell ref="A27:G27"/>
  </mergeCells>
  <printOptions>
    <extLst>
      <ext uri="smNativeData">
        <pm:pageFlags xmlns:pm="smNativeData" id="1789495586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 differentOddEven="0" differentFirst="0" scaleWithDoc="0" alignWithMargins="1">
    <extLst>
      <ext uri="smNativeData">
        <pm:header xmlns:pm="smNativeData" id="1789495586" l="56" r="56" t="56" b="56" borderId="0" fillId="0" vertical="0"/>
        <pm:footer xmlns:pm="smNativeData" id="1789495586" l="56" r="56" t="56" b="56" borderId="0" fillId="0" vertical="2"/>
        <pm:paperBin xmlns:pm="smNativeData" id="1789495586" Id="0" type="0" value="0"/>
        <pm:paperBin xmlns:pm="smNativeData" id="1789495586" Id="1" type="0" value="0"/>
      </ext>
    </extLst>
    <oddHeader>&amp;L&amp;"Arial,Bold"&amp;11EKG-KLT-FRM-33&amp;C&amp;"Arial,Regular"&amp;11Cam Hattı SPC Analiz Formları - Xbar R ve P Kartı</oddHeader>
    <oddFooter>&amp;L&amp;"Arial,Regular"&amp;11İlk Yayın: 04.05.2026 | Revizyon: 19.10.2026&amp;R&amp;11Sayfa &amp;P / &amp;N</oddFooter>
  </headerFooter>
  <extLst>
    <ext uri="smNativeData">
      <pm:sheetPrefs xmlns:pm="smNativeData" day="178949558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soner</cp:lastModifiedBy>
  <cp:revision>0</cp:revision>
  <dcterms:created xsi:type="dcterms:W3CDTF">2026-05-04T09:00:00Z</dcterms:created>
  <dcterms:modified xsi:type="dcterms:W3CDTF">2026-10-19T09:00:00Z</dcterms:modified>
</cp:coreProperties>
</file>