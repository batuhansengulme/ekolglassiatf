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Panosu" sheetId="1" state="visible" r:id="rId1"/>
    <sheet xmlns:r="http://schemas.openxmlformats.org/officeDocument/2006/relationships" name="Aylık Trendler ve Veri Seti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sz val="11"/>
    </font>
    <font>
      <name val="Calibri"/>
      <b val="1"/>
      <color rgb="001F497D"/>
      <sz val="12"/>
    </font>
    <font>
      <name val="Calibri"/>
      <b val="1"/>
      <color rgb="00FFFFFF"/>
      <sz val="11"/>
    </font>
    <font>
      <name val="Calibri"/>
      <sz val="11"/>
    </font>
    <font>
      <name val="Arial"/>
      <b val="1"/>
      <color rgb="00FFFFFF"/>
      <sz val="9"/>
    </font>
    <font>
      <name val="Arial"/>
      <b val="1"/>
      <color rgb="001F497D"/>
      <sz val="9"/>
    </font>
    <font>
      <name val="Arial"/>
      <b val="1"/>
      <color rgb="005B6573"/>
      <sz val="9"/>
    </font>
    <font>
      <name val="Arial"/>
      <color rgb="005B6573"/>
      <sz val="9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9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005B8E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7">
    <border>
      <left/>
      <right/>
      <top/>
      <bottom/>
      <diagonal/>
    </border>
    <border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/>
      <bottom style="medium">
        <color rgb="001F497D"/>
      </bottom>
      <diagonal/>
    </border>
    <border>
      <right/>
      <bottom style="medium">
        <color rgb="001F497D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 applyAlignment="1">
      <alignment wrapText="1" shrinkToFit="0" vertical="top"/>
    </xf>
    <xf numFmtId="0" fontId="1" fillId="0" borderId="0" applyAlignment="1" pivotButton="0" quotePrefix="0" xfId="0">
      <alignment horizontal="left" vertical="center" wrapText="1" shrinkToFit="0"/>
    </xf>
    <xf numFmtId="0" fontId="2" fillId="0" borderId="0" pivotButton="0" quotePrefix="0" xfId="0" applyAlignment="1">
      <alignment wrapText="1" shrinkToFit="0" vertical="top"/>
    </xf>
    <xf numFmtId="0" fontId="3" fillId="0" borderId="1" pivotButton="0" quotePrefix="0" xfId="0" applyAlignment="1">
      <alignment wrapText="1" shrinkToFit="0" vertical="top"/>
    </xf>
    <xf numFmtId="0" fontId="4" fillId="2" borderId="2" applyAlignment="1" pivotButton="0" quotePrefix="0" xfId="0">
      <alignment horizontal="center" vertical="center" wrapText="1" shrinkToFit="0"/>
    </xf>
    <xf numFmtId="0" fontId="5" fillId="0" borderId="2" applyAlignment="1" pivotButton="0" quotePrefix="0" xfId="0">
      <alignment horizontal="left" vertical="center" wrapText="1" shrinkToFit="0"/>
    </xf>
    <xf numFmtId="0" fontId="5" fillId="0" borderId="2" applyAlignment="1" pivotButton="0" quotePrefix="0" xfId="0">
      <alignment horizontal="center" vertical="center" wrapText="1" shrinkToFit="0"/>
    </xf>
    <xf numFmtId="0" fontId="2" fillId="3" borderId="2" applyAlignment="1" pivotButton="0" quotePrefix="0" xfId="0">
      <alignment horizontal="center" vertical="center" wrapText="1" shrinkToFit="0"/>
    </xf>
    <xf numFmtId="0" fontId="2" fillId="4" borderId="2" applyAlignment="1" pivotButton="0" quotePrefix="0" xfId="0">
      <alignment horizontal="center" vertical="center" wrapText="1" shrinkToFit="0"/>
    </xf>
    <xf numFmtId="0" fontId="2" fillId="5" borderId="2" applyAlignment="1" pivotButton="0" quotePrefix="0" xfId="0">
      <alignment horizontal="center" vertical="center" wrapText="1" shrinkToFit="0"/>
    </xf>
    <xf numFmtId="0" fontId="0" fillId="0" borderId="3" pivotButton="0" quotePrefix="0" xfId="0" applyAlignment="1">
      <alignment wrapText="1" shrinkToFit="0" vertical="top"/>
    </xf>
    <xf numFmtId="0" fontId="3" fillId="0" borderId="4" pivotButton="0" quotePrefix="0" xfId="0" applyAlignment="1">
      <alignment wrapText="1" shrinkToFit="0" vertical="top"/>
    </xf>
    <xf numFmtId="0" fontId="7" fillId="0" borderId="0" applyAlignment="1" pivotButton="0" quotePrefix="0" xfId="0">
      <alignment vertical="top" wrapText="1" shrinkToFit="0"/>
    </xf>
    <xf numFmtId="0" fontId="8" fillId="0" borderId="0" applyAlignment="1" pivotButton="0" quotePrefix="0" xfId="0">
      <alignment vertical="top" wrapText="1" shrinkToFit="0"/>
    </xf>
    <xf numFmtId="0" fontId="7" fillId="0" borderId="4" applyAlignment="1" pivotButton="0" quotePrefix="0" xfId="0">
      <alignment vertical="top" wrapText="1" shrinkToFit="0"/>
    </xf>
    <xf numFmtId="0" fontId="6" fillId="6" borderId="2" applyAlignment="1" pivotButton="0" quotePrefix="0" xfId="0">
      <alignment vertical="center" wrapText="1" shrinkToFit="0"/>
    </xf>
    <xf numFmtId="0" fontId="9" fillId="0" borderId="2" applyAlignment="1" pivotButton="0" quotePrefix="0" xfId="0">
      <alignment vertical="top" wrapText="1" shrinkToFit="0"/>
    </xf>
    <xf numFmtId="0" fontId="6" fillId="2" borderId="2" applyAlignment="1" pivotButton="0" quotePrefix="0" xfId="0">
      <alignment vertical="top" wrapText="1" shrinkToFit="0"/>
    </xf>
    <xf numFmtId="0" fontId="10" fillId="7" borderId="0" xfId="0" applyFont="1" applyAlignment="1" applyFill="1">
      <alignment vertical="top" wrapText="1" shrinkToFit="0"/>
    </xf>
    <xf numFmtId="0" fontId="11" fillId="0" borderId="0" xfId="0" applyFont="1" applyAlignment="1">
      <alignment vertical="top" wrapText="1" shrinkToFit="0"/>
    </xf>
    <xf numFmtId="0" fontId="12" fillId="0" borderId="0" xfId="0" applyFont="1" applyAlignment="1">
      <alignment vertical="top" wrapText="1" shrinkToFit="0"/>
    </xf>
    <xf numFmtId="0" fontId="13" fillId="8" borderId="0" xfId="0" applyFont="1" applyAlignment="1">
      <alignment wrapText="1" vertical="top" shrinkToFit="0"/>
    </xf>
    <xf numFmtId="0" fontId="14" fillId="0" borderId="0" xfId="0" applyFont="1" applyAlignment="1">
      <alignment wrapText="1" vertical="top" shrinkToFit="0"/>
    </xf>
    <xf numFmtId="0" fontId="15" fillId="0" borderId="0" xfId="0" applyFont="1" applyAlignment="1">
      <alignment wrapText="1" vertical="top" shrinkToFit="0"/>
    </xf>
    <xf numFmtId="0" fontId="14" fillId="0" borderId="5" xfId="0" applyFont="1" applyAlignment="1" applyBorder="1">
      <alignment wrapText="1" vertical="top" shrinkToFit="0"/>
    </xf>
    <xf numFmtId="0" fontId="15" fillId="0" borderId="6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4287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32.000" customWidth="1"/>
    <col min="3" max="3" width="7.000" customWidth="1"/>
    <col min="4" max="4" width="10.800" customWidth="1"/>
    <col min="5" max="5" width="21.200" customWidth="1"/>
    <col min="6" max="6" width="13.000" customWidth="1"/>
    <col min="7" max="7" width="13.000" customWidth="1"/>
    <col min="8" max="8" width="13.000" customWidth="1"/>
    <col min="9" max="9" width="13.000" customWidth="1"/>
  </cols>
  <sheetData>
    <row r="1" ht="19" customHeight="1">
      <c r="A1" s="21" t="inlineStr">
        <is>
          <t xml:space="preserve">BAKIM PERFORMANS PANOSU</t>
        </is>
      </c>
    </row>
    <row r="2" ht="19" customHeight="1">
      <c r="A2" s="22" t="inlineStr">
        <is>
          <t xml:space="preserve">Dönem / ekipman kapsamı: __________ | Veri kaynağı / hazırlayan: __________</t>
        </is>
      </c>
    </row>
    <row r="3" ht="36" customHeight="1">
      <c r="A3" s="24" t="inlineStr">
        <is>
          <t xml:space="preserve">Gösterge</t>
        </is>
      </c>
      <c r="B3" s="24" t="inlineStr">
        <is>
          <t xml:space="preserve">Tanım</t>
        </is>
      </c>
      <c r="C3" s="24" t="inlineStr">
        <is>
          <t xml:space="preserve">Hedef</t>
        </is>
      </c>
      <c r="D3" s="24" t="inlineStr">
        <is>
          <t xml:space="preserve">Gerçekleşen</t>
        </is>
      </c>
      <c r="E3" s="24" t="inlineStr">
        <is>
          <t xml:space="preserve">Sapma aksiyonu / sorumlu</t>
        </is>
      </c>
    </row>
    <row r="4" ht="61" customHeight="1">
      <c r="A4" s="24" t="inlineStr">
        <is>
          <t xml:space="preserve">MTBF (saat)</t>
        </is>
      </c>
      <c r="B4" s="24" t="inlineStr">
        <is>
          <t xml:space="preserve">Toplam çalışma saati / tanımlı arıza sayısı. Arıza yoksa süre ve arıza yok bilgisi raporlanır.</t>
        </is>
      </c>
      <c r="C4" s="24"/>
      <c r="D4" s="24"/>
      <c r="E4" s="24"/>
    </row>
    <row r="5" ht="61" customHeight="1">
      <c r="A5" s="25" t="inlineStr">
        <is>
          <t xml:space="preserve">MTTR (dakika)</t>
        </is>
      </c>
      <c r="B5" s="25" t="inlineStr">
        <is>
          <t xml:space="preserve">Toplam fiili onarım dakikası / aynı kapsamdaki onarılan arıza sayısı. Bekleme süresi ayrı izlenir.</t>
        </is>
      </c>
      <c r="C5" s="25"/>
      <c r="D5" s="25"/>
      <c r="E5" s="25"/>
    </row>
    <row r="6" ht="61" customHeight="1">
      <c r="A6" s="25" t="inlineStr">
        <is>
          <t xml:space="preserve">Planlı bakım uyumu (%)</t>
        </is>
      </c>
      <c r="B6" s="25" t="inlineStr">
        <is>
          <t xml:space="preserve">Döneminde tamamlanan bakım / döneminde yapılması gereken bakım. Ertelenen görev ilk vadesinin paydasında kalır.</t>
        </is>
      </c>
      <c r="C6" s="25"/>
      <c r="D6" s="25"/>
      <c r="E6" s="25"/>
    </row>
    <row r="7" ht="61" customHeight="1">
      <c r="A7" s="25" t="inlineStr">
        <is>
          <t xml:space="preserve">Otonom bakım uyumu (%)</t>
        </is>
      </c>
      <c r="B7" s="25" t="inlineStr">
        <is>
          <t xml:space="preserve">Tamamlanan görev / planlanan görev. Gerekmeyen görevler gerekçesiyle kapsam dışı bırakılır.</t>
        </is>
      </c>
      <c r="C7" s="25"/>
      <c r="D7" s="25"/>
      <c r="E7" s="25"/>
    </row>
    <row r="8" ht="75" customHeight="1">
      <c r="A8" s="25" t="inlineStr">
        <is>
          <t xml:space="preserve">OEE (%)</t>
        </is>
      </c>
      <c r="B8" s="25" t="inlineStr">
        <is>
          <t xml:space="preserve">Kullanılabilirlik × performans × kalite; doğrulanmış üretim verisi ve aynı ekipman/dönem kapsamı kullanılır.</t>
        </is>
      </c>
      <c r="C8" s="25"/>
      <c r="D8" s="25"/>
      <c r="E8" s="25"/>
    </row>
    <row r="9" ht="89" customHeight="1">
      <c r="A9" s="23" t="inlineStr">
        <is>
          <t xml:space="preserve">Hedefler yetkili yönetimce belirlenir. Performans verileri proses risk değerlendirmesine girdi sağlar; FMEA puanı otomatik değişmez.</t>
        </is>
      </c>
    </row>
  </sheetData>
  <mergeCells count="2">
    <mergeCell ref="A1:E1"/>
    <mergeCell ref="A2:E2"/>
  </mergeCells>
  <pageSetup scale="100"/>
  <headerFooter differentOddEven="0" differentFirst="0" scaleWithDoc="0" alignWithMargins="1">
    <oddHeader>&amp;L&amp;"Arial,Bold"&amp;11EKG-BAK-PNO-01&amp;C&amp;"Arial,Regular"&amp;11Bakım KPI Panosu</oddHeader>
    <oddFooter>&amp;L&amp;"Arial,Regular"&amp;11İlk Yayın: 11.06.2026 | Revizyon: 24.09.2026
Revizyon nedeni: Bakım göstergelerinin pay/payda tanımları ile MTBF, MTTR ve plan uyumu formülleri düzenlendi.&amp;R&amp;11Sayfa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2.400" customWidth="1"/>
    <col min="3" max="3" width="11.600" customWidth="1"/>
    <col min="4" max="4" width="21.200" customWidth="1"/>
    <col min="5" max="5" width="15.600" customWidth="1"/>
    <col min="6" max="6" width="16.400" customWidth="1"/>
    <col min="7" max="7" width="18.000" customWidth="1"/>
    <col min="8" max="8" width="9.200" customWidth="1"/>
    <col min="9" max="9" width="9.200" customWidth="1"/>
    <col min="10" max="10" width="13.200" customWidth="1"/>
  </cols>
  <sheetData>
    <row r="1" ht="19" customHeight="1">
      <c r="A1" s="21" t="inlineStr">
        <is>
          <t xml:space="preserve">AYLIK BAKIM VERİLERİ</t>
        </is>
      </c>
    </row>
    <row r="2" ht="33" customHeight="1">
      <c r="A2" s="22" t="inlineStr">
        <is>
          <t xml:space="preserve">Süreler aynı dönem ve ekipman kapsamına ait olmalıdır. Tamamlanan bakım yalnızca ilgili dönemin vadesi gelen görevlerinden sayılır. MTTR için tamamlanan onarımların toplam süresi ve sayısı eşleştirilir.</t>
        </is>
      </c>
    </row>
    <row r="3" ht="36" customHeight="1">
      <c r="A3" s="24" t="inlineStr">
        <is>
          <t xml:space="preserve">Dönem</t>
        </is>
      </c>
      <c r="B3" s="24" t="inlineStr">
        <is>
          <t xml:space="preserve">Çalışma saati</t>
        </is>
      </c>
      <c r="C3" s="24" t="inlineStr">
        <is>
          <t xml:space="preserve">Arıza sayısı</t>
        </is>
      </c>
      <c r="D3" s="24" t="inlineStr">
        <is>
          <t xml:space="preserve">Tamamlanan onarım sayısı</t>
        </is>
      </c>
      <c r="E3" s="24" t="inlineStr">
        <is>
          <t xml:space="preserve">Fiili onarım (dk)</t>
        </is>
      </c>
      <c r="F3" s="24" t="inlineStr">
        <is>
          <t xml:space="preserve">Vadesi gelen bakım</t>
        </is>
      </c>
      <c r="G3" s="24" t="inlineStr">
        <is>
          <t xml:space="preserve">Zamanında tamamlanan</t>
        </is>
      </c>
      <c r="H3" s="24" t="inlineStr">
        <is>
          <t xml:space="preserve">MTBF (sa)</t>
        </is>
      </c>
      <c r="I3" s="24" t="inlineStr">
        <is>
          <t xml:space="preserve">MTTR (dk)</t>
        </is>
      </c>
      <c r="J3" s="24" t="inlineStr">
        <is>
          <t xml:space="preserve">Plan uyumu (%)</t>
        </is>
      </c>
    </row>
    <row r="4" ht="18" customHeight="1">
      <c r="A4" s="24"/>
      <c r="B4" s="24"/>
      <c r="C4" s="24"/>
      <c r="D4" s="24"/>
      <c r="E4" s="24"/>
      <c r="F4" s="24"/>
      <c r="G4" s="24"/>
      <c r="H4" s="24">
        <f>IF(COUNT(B4:C4)&lt;2,"",IF(OR(B4&lt;0,C4&lt;0),"VERİ KONTROL",IF(C4=0,"ARIZA YOK",B4/C4)))</f>
      </c>
      <c r="I4" s="24">
        <f>IF(COUNT(D4:E4)&lt;2,"",IF(OR(D4&lt;0,E4&lt;0),"VERİ KONTROL",IF(D4=0,IF(E4=0,"ONARIM YOK","VERİ KONTROL"),E4/D4)))</f>
      </c>
      <c r="J4" s="24">
        <f>IF(COUNT(F4:G4)&lt;2,"",IF(OR(F4&lt;0,G4&lt;0,G4&gt;F4),"VERİ KONTROL",IF(F4=0,"PLAN YOK",G4/F4)))</f>
      </c>
    </row>
    <row r="5" ht="18" customHeight="1">
      <c r="A5" s="25"/>
      <c r="B5" s="25"/>
      <c r="C5" s="25"/>
      <c r="D5" s="25"/>
      <c r="E5" s="25"/>
      <c r="F5" s="25"/>
      <c r="G5" s="25"/>
      <c r="H5" s="25">
        <f>IF(COUNT(B5:C5)&lt;2,"",IF(OR(B5&lt;0,C5&lt;0),"VERİ KONTROL",IF(C5=0,"ARIZA YOK",B5/C5)))</f>
      </c>
      <c r="I5" s="25">
        <f>IF(COUNT(D5:E5)&lt;2,"",IF(OR(D5&lt;0,E5&lt;0),"VERİ KONTROL",IF(D5=0,IF(E5=0,"ONARIM YOK","VERİ KONTROL"),E5/D5)))</f>
      </c>
      <c r="J5" s="25">
        <f>IF(COUNT(F5:G5)&lt;2,"",IF(OR(F5&lt;0,G5&lt;0,G5&gt;F5),"VERİ KONTROL",IF(F5=0,"PLAN YOK",G5/F5)))</f>
      </c>
    </row>
    <row r="6" ht="18" customHeight="1">
      <c r="A6" s="25"/>
      <c r="B6" s="25"/>
      <c r="C6" s="25"/>
      <c r="D6" s="25"/>
      <c r="E6" s="25"/>
      <c r="F6" s="25"/>
      <c r="G6" s="25"/>
      <c r="H6" s="25">
        <f>IF(COUNT(B6:C6)&lt;2,"",IF(OR(B6&lt;0,C6&lt;0),"VERİ KONTROL",IF(C6=0,"ARIZA YOK",B6/C6)))</f>
      </c>
      <c r="I6" s="25">
        <f>IF(COUNT(D6:E6)&lt;2,"",IF(OR(D6&lt;0,E6&lt;0),"VERİ KONTROL",IF(D6=0,IF(E6=0,"ONARIM YOK","VERİ KONTROL"),E6/D6)))</f>
      </c>
      <c r="J6" s="25">
        <f>IF(COUNT(F6:G6)&lt;2,"",IF(OR(F6&lt;0,G6&lt;0,G6&gt;F6),"VERİ KONTROL",IF(F6=0,"PLAN YOK",G6/F6)))</f>
      </c>
    </row>
    <row r="7" ht="18" customHeight="1">
      <c r="A7" s="25"/>
      <c r="B7" s="25"/>
      <c r="C7" s="25"/>
      <c r="D7" s="25"/>
      <c r="E7" s="25"/>
      <c r="F7" s="25"/>
      <c r="G7" s="25"/>
      <c r="H7" s="25">
        <f>IF(COUNT(B7:C7)&lt;2,"",IF(OR(B7&lt;0,C7&lt;0),"VERİ KONTROL",IF(C7=0,"ARIZA YOK",B7/C7)))</f>
      </c>
      <c r="I7" s="25">
        <f>IF(COUNT(D7:E7)&lt;2,"",IF(OR(D7&lt;0,E7&lt;0),"VERİ KONTROL",IF(D7=0,IF(E7=0,"ONARIM YOK","VERİ KONTROL"),E7/D7)))</f>
      </c>
      <c r="J7" s="25">
        <f>IF(COUNT(F7:G7)&lt;2,"",IF(OR(F7&lt;0,G7&lt;0,G7&gt;F7),"VERİ KONTROL",IF(F7=0,"PLAN YOK",G7/F7)))</f>
      </c>
    </row>
    <row r="8" ht="18" customHeight="1">
      <c r="A8" s="25"/>
      <c r="B8" s="25"/>
      <c r="C8" s="25"/>
      <c r="D8" s="25"/>
      <c r="E8" s="25"/>
      <c r="F8" s="25"/>
      <c r="G8" s="25"/>
      <c r="H8" s="25">
        <f>IF(COUNT(B8:C8)&lt;2,"",IF(OR(B8&lt;0,C8&lt;0),"VERİ KONTROL",IF(C8=0,"ARIZA YOK",B8/C8)))</f>
      </c>
      <c r="I8" s="25">
        <f>IF(COUNT(D8:E8)&lt;2,"",IF(OR(D8&lt;0,E8&lt;0),"VERİ KONTROL",IF(D8=0,IF(E8=0,"ONARIM YOK","VERİ KONTROL"),E8/D8)))</f>
      </c>
      <c r="J8" s="25">
        <f>IF(COUNT(F8:G8)&lt;2,"",IF(OR(F8&lt;0,G8&lt;0,G8&gt;F8),"VERİ KONTROL",IF(F8=0,"PLAN YOK",G8/F8)))</f>
      </c>
    </row>
    <row r="9" ht="18" customHeight="1">
      <c r="A9" s="25"/>
      <c r="B9" s="25"/>
      <c r="C9" s="25"/>
      <c r="D9" s="25"/>
      <c r="E9" s="25"/>
      <c r="F9" s="25"/>
      <c r="G9" s="25"/>
      <c r="H9" s="25">
        <f>IF(COUNT(B9:C9)&lt;2,"",IF(OR(B9&lt;0,C9&lt;0),"VERİ KONTROL",IF(C9=0,"ARIZA YOK",B9/C9)))</f>
      </c>
      <c r="I9" s="25">
        <f>IF(COUNT(D9:E9)&lt;2,"",IF(OR(D9&lt;0,E9&lt;0),"VERİ KONTROL",IF(D9=0,IF(E9=0,"ONARIM YOK","VERİ KONTROL"),E9/D9)))</f>
      </c>
      <c r="J9" s="25">
        <f>IF(COUNT(F9:G9)&lt;2,"",IF(OR(F9&lt;0,G9&lt;0,G9&gt;F9),"VERİ KONTROL",IF(F9=0,"PLAN YOK",G9/F9)))</f>
      </c>
    </row>
    <row r="10" ht="18" customHeight="1">
      <c r="A10" s="25"/>
      <c r="B10" s="25"/>
      <c r="C10" s="25"/>
      <c r="D10" s="25"/>
      <c r="E10" s="25"/>
      <c r="F10" s="25"/>
      <c r="G10" s="25"/>
      <c r="H10" s="25">
        <f>IF(COUNT(B10:C10)&lt;2,"",IF(OR(B10&lt;0,C10&lt;0),"VERİ KONTROL",IF(C10=0,"ARIZA YOK",B10/C10)))</f>
      </c>
      <c r="I10" s="25">
        <f>IF(COUNT(D10:E10)&lt;2,"",IF(OR(D10&lt;0,E10&lt;0),"VERİ KONTROL",IF(D10=0,IF(E10=0,"ONARIM YOK","VERİ KONTROL"),E10/D10)))</f>
      </c>
      <c r="J10" s="25">
        <f>IF(COUNT(F10:G10)&lt;2,"",IF(OR(F10&lt;0,G10&lt;0,G10&gt;F10),"VERİ KONTROL",IF(F10=0,"PLAN YOK",G10/F10)))</f>
      </c>
    </row>
    <row r="11" ht="18" customHeight="1">
      <c r="A11" s="25"/>
      <c r="B11" s="25"/>
      <c r="C11" s="25"/>
      <c r="D11" s="25"/>
      <c r="E11" s="25"/>
      <c r="F11" s="25"/>
      <c r="G11" s="25"/>
      <c r="H11" s="25">
        <f>IF(COUNT(B11:C11)&lt;2,"",IF(OR(B11&lt;0,C11&lt;0),"VERİ KONTROL",IF(C11=0,"ARIZA YOK",B11/C11)))</f>
      </c>
      <c r="I11" s="25">
        <f>IF(COUNT(D11:E11)&lt;2,"",IF(OR(D11&lt;0,E11&lt;0),"VERİ KONTROL",IF(D11=0,IF(E11=0,"ONARIM YOK","VERİ KONTROL"),E11/D11)))</f>
      </c>
      <c r="J11" s="25">
        <f>IF(COUNT(F11:G11)&lt;2,"",IF(OR(F11&lt;0,G11&lt;0,G11&gt;F11),"VERİ KONTROL",IF(F11=0,"PLAN YOK",G11/F11)))</f>
      </c>
    </row>
    <row r="12" ht="18" customHeight="1">
      <c r="A12" s="25"/>
      <c r="B12" s="25"/>
      <c r="C12" s="25"/>
      <c r="D12" s="25"/>
      <c r="E12" s="25"/>
      <c r="F12" s="25"/>
      <c r="G12" s="25"/>
      <c r="H12" s="25">
        <f>IF(COUNT(B12:C12)&lt;2,"",IF(OR(B12&lt;0,C12&lt;0),"VERİ KONTROL",IF(C12=0,"ARIZA YOK",B12/C12)))</f>
      </c>
      <c r="I12" s="25">
        <f>IF(COUNT(D12:E12)&lt;2,"",IF(OR(D12&lt;0,E12&lt;0),"VERİ KONTROL",IF(D12=0,IF(E12=0,"ONARIM YOK","VERİ KONTROL"),E12/D12)))</f>
      </c>
      <c r="J12" s="25">
        <f>IF(COUNT(F12:G12)&lt;2,"",IF(OR(F12&lt;0,G12&lt;0,G12&gt;F12),"VERİ KONTROL",IF(F12=0,"PLAN YOK",G12/F12)))</f>
      </c>
    </row>
    <row r="13" ht="18" customHeight="1">
      <c r="A13" s="25"/>
      <c r="B13" s="25"/>
      <c r="C13" s="25"/>
      <c r="D13" s="25"/>
      <c r="E13" s="25"/>
      <c r="F13" s="25"/>
      <c r="G13" s="25"/>
      <c r="H13" s="25">
        <f>IF(COUNT(B13:C13)&lt;2,"",IF(OR(B13&lt;0,C13&lt;0),"VERİ KONTROL",IF(C13=0,"ARIZA YOK",B13/C13)))</f>
      </c>
      <c r="I13" s="25">
        <f>IF(COUNT(D13:E13)&lt;2,"",IF(OR(D13&lt;0,E13&lt;0),"VERİ KONTROL",IF(D13=0,IF(E13=0,"ONARIM YOK","VERİ KONTROL"),E13/D13)))</f>
      </c>
      <c r="J13" s="25">
        <f>IF(COUNT(F13:G13)&lt;2,"",IF(OR(F13&lt;0,G13&lt;0,G13&gt;F13),"VERİ KONTROL",IF(F13=0,"PLAN YOK",G13/F13)))</f>
      </c>
    </row>
    <row r="14" ht="18" customHeight="1">
      <c r="A14" s="25"/>
      <c r="B14" s="25"/>
      <c r="C14" s="25"/>
      <c r="D14" s="25"/>
      <c r="E14" s="25"/>
      <c r="F14" s="25"/>
      <c r="G14" s="25"/>
      <c r="H14" s="25">
        <f>IF(COUNT(B14:C14)&lt;2,"",IF(OR(B14&lt;0,C14&lt;0),"VERİ KONTROL",IF(C14=0,"ARIZA YOK",B14/C14)))</f>
      </c>
      <c r="I14" s="25">
        <f>IF(COUNT(D14:E14)&lt;2,"",IF(OR(D14&lt;0,E14&lt;0),"VERİ KONTROL",IF(D14=0,IF(E14=0,"ONARIM YOK","VERİ KONTROL"),E14/D14)))</f>
      </c>
      <c r="J14" s="25">
        <f>IF(COUNT(F14:G14)&lt;2,"",IF(OR(F14&lt;0,G14&lt;0,G14&gt;F14),"VERİ KONTROL",IF(F14=0,"PLAN YOK",G14/F14)))</f>
      </c>
    </row>
    <row r="15" ht="18" customHeight="1">
      <c r="A15" s="25"/>
      <c r="B15" s="25"/>
      <c r="C15" s="25"/>
      <c r="D15" s="25"/>
      <c r="E15" s="25"/>
      <c r="F15" s="25"/>
      <c r="G15" s="25"/>
      <c r="H15" s="25">
        <f>IF(COUNT(B15:C15)&lt;2,"",IF(OR(B15&lt;0,C15&lt;0),"VERİ KONTROL",IF(C15=0,"ARIZA YOK",B15/C15)))</f>
      </c>
      <c r="I15" s="25">
        <f>IF(COUNT(D15:E15)&lt;2,"",IF(OR(D15&lt;0,E15&lt;0),"VERİ KONTROL",IF(D15=0,IF(E15=0,"ONARIM YOK","VERİ KONTROL"),E15/D15)))</f>
      </c>
      <c r="J15" s="25">
        <f>IF(COUNT(F15:G15)&lt;2,"",IF(OR(F15&lt;0,G15&lt;0,G15&gt;F15),"VERİ KONTROL",IF(F15=0,"PLAN YOK",G15/F15)))</f>
      </c>
    </row>
  </sheetData>
  <mergeCells count="2">
    <mergeCell ref="A1:J1"/>
    <mergeCell ref="A2:J2"/>
  </mergeCells>
  <pageSetup scale="100"/>
  <headerFooter differentOddEven="0" differentFirst="0" scaleWithDoc="0" alignWithMargins="1">
    <oddHeader>&amp;L&amp;"Arial,Bold"&amp;11EKG-BAK-PNO-01&amp;C&amp;"Arial,Regular"&amp;11Bakım KPI Panosu</oddHeader>
    <oddFooter>&amp;L&amp;"Arial,Regular"&amp;11İlk Yayın: 11.06.2026 | Revizyon: 24.09.2026
Revizyon nedeni: Bakım göstergelerinin pay/payda tanımları ile MTBF, MTTR ve plan uyumu formülleri düzenlendi.&amp;R&amp;11Sayfa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2026-06-11T09:00:00Z</dcterms:created>
  <dcterms:modified xmlns:dcterms="http://purl.org/dc/terms/" xmlns:xsi="http://www.w3.org/2001/XMLSchema-instance" xsi:type="dcterms:W3CDTF">2026-10-19T09:00:00Z</dcterms:modified>
</cp:coreProperties>
</file>