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3e7f8bef0e424bae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İş Yükü" sheetId="1" r:id="R043b46cd48ba405b"/>
    <x:sheet xmlns:r="http://schemas.openxmlformats.org/officeDocument/2006/relationships" name="SOP Yetkinlik" sheetId="2" r:id="R29386b681a7348c8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EAF0F4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35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right" vertical="center" wrapText="1" shrinkToFit="0"/>
    </x:xf>
    <x:xf numFmtId="0" fontId="1" fillId="4" borderId="2" xfId="0" applyNumberFormat="1" applyFont="1" applyFill="1" applyBorder="1" applyAlignment="1">
      <x:alignment horizontal="right" vertical="center" wrapText="1" shrinkToFit="0"/>
    </x:xf>
    <x:xf numFmtId="200" fontId="1" fillId="0" borderId="2" xfId="0" applyNumberFormat="1" applyFont="1" applyFill="1" applyBorder="1" applyAlignment="1">
      <x:alignment horizontal="right" vertical="center" wrapText="1" shrinkToFit="0"/>
    </x:xf>
    <x:xf numFmtId="200" fontId="1" fillId="4" borderId="2" xfId="0" applyNumberFormat="1" applyFont="1" applyFill="1" applyBorder="1" applyAlignment="1">
      <x:alignment horizontal="right" vertical="center" wrapText="1" shrinkToFit="0"/>
    </x:xf>
    <x:xf numFmtId="0" fontId="1" fillId="5" borderId="2" xfId="0" applyNumberFormat="1" applyFont="1" applyFill="1" applyBorder="1" applyAlignment="1">
      <x:alignment vertical="center" wrapText="1" shrinkToFit="0"/>
    </x:xf>
    <x:xf numFmtId="0" fontId="1" fillId="5" borderId="2" xfId="0" applyNumberFormat="1" applyFont="1" applyFill="1" applyBorder="1" applyAlignment="1">
      <x:alignment horizontal="right" vertical="center" wrapText="1" shrinkToFit="0"/>
    </x:xf>
    <x:xf numFmtId="201" fontId="1" fillId="5" borderId="2" xfId="0" applyNumberFormat="1" applyFont="1" applyFill="1" applyBorder="1" applyAlignment="1">
      <x:alignment horizontal="right" vertical="center" wrapText="1" shrinkToFit="0"/>
    </x:xf>
    <x:xf numFmtId="200" fontId="1" fillId="5" borderId="2" xfId="0" applyNumberFormat="1" applyFont="1" applyFill="1" applyBorder="1" applyAlignment="1">
      <x:alignment horizontal="right"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2" fontId="1" fillId="0" borderId="2" xfId="0" applyNumberFormat="1" applyFont="1" applyFill="1" applyBorder="1" applyAlignment="1">
      <x:alignment horizontal="center" vertical="center" wrapText="1" shrinkToFit="0"/>
    </x:xf>
    <x:xf numFmtId="202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6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a46978e9870f465e"/><Relationship Type="http://schemas.openxmlformats.org/officeDocument/2006/relationships/theme" Target="/xl/theme/theme1.xml" Id="R73629001ff7d466e"/><Relationship Type="http://schemas.openxmlformats.org/officeDocument/2006/relationships/sharedStrings" Target="/xl/sharedStrings.xml" Id="Rf66c3db89c324960"/><Relationship Type="http://schemas.openxmlformats.org/officeDocument/2006/relationships/worksheet" Target="/xl/worksheets/sheet1.xml" Id="R043b46cd48ba405b"/><Relationship Type="http://schemas.openxmlformats.org/officeDocument/2006/relationships/worksheet" Target="/xl/worksheets/sheet2.xml" Id="R29386b681a7348c8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453aee12be9440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37ea609a3e3428b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53aee12be944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7ea609a3e342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7_EKGPRJMTR01_0" displayName="T7_EKGPRJMTR01_0" ref="A12:L22" headerRowCount="1" totalsRowCount="0" totalsRowShown="0">
  <x:autoFilter ref="A12:L22"/>
  <x:tableColumns count="12">
    <x:tableColumn id="1" name="Dönem / hafta"/>
    <x:tableColumn id="2" name="Kaynak / görev unvanı"/>
    <x:tableColumn id="3" name="Yetkinlik / faaliyet"/>
    <x:tableColumn id="4" name="Kapsanan projeler"/>
    <x:tableColumn id="5" name="Toplam ihtiyaç (saat)"/>
    <x:tableColumn id="6" name="Net kullanılabilir (saat)"/>
    <x:tableColumn id="7" name="Yük oranı"/>
    <x:tableColumn id="8" name="Açık (saat)"/>
    <x:tableColumn id="9" name="Kaynak aksiyonu / öncelik"/>
    <x:tableColumn id="10" name="Sorumlu rol"/>
    <x:tableColumn id="11" name="Termin"/>
    <x:tableColumn id="12" name="Karar / kanıt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7_EKGPRJMTR01_1" displayName="T7_EKGPRJMTR01_1" ref="A11:K22" headerRowCount="1" totalsRowCount="0" totalsRowShown="0">
  <x:autoFilter ref="A11:K22"/>
  <x:tableColumns count="11">
    <x:tableColumn id="1" name="Operasyon / rol"/>
    <x:tableColumn id="2" name="Vardiya"/>
    <x:tableColumn id="3" name="Gerekli beceri / yetki"/>
    <x:tableColumn id="4" name="Gerekli kişi"/>
    <x:tableColumn id="5" name="Yetkin kişi"/>
    <x:tableColumn id="6" name="Açık kişi"/>
    <x:tableColumn id="7" name="Eğitim / işe alım faaliyeti"/>
    <x:tableColumn id="8" name="Hazır olma tarihi"/>
    <x:tableColumn id="9" name="Sorumlu rol"/>
    <x:tableColumn id="10" name="Yetkinlik / eğitim kanıtı"/>
    <x:tableColumn id="11" name="Sonuç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cbeff35fc94162" /><Relationship Type="http://schemas.openxmlformats.org/officeDocument/2006/relationships/table" Target="/xl/tables/table1.xml" Id="R0c15a7fb83024a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657725d958b40dd" /><Relationship Type="http://schemas.openxmlformats.org/officeDocument/2006/relationships/table" Target="/xl/tables/table2.xml" Id="R17209e25a2324f06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17" hidden="0" customWidth="1"/>
    <x:col min="2" max="2" width="26" hidden="0" customWidth="1"/>
    <x:col min="3" max="3" width="35" hidden="0" customWidth="1"/>
    <x:col min="4" max="4" width="28" hidden="0" customWidth="1"/>
    <x:col min="5" max="5" width="21" hidden="0" customWidth="1"/>
    <x:col min="6" max="6" width="23" hidden="0" customWidth="1"/>
    <x:col min="7" max="7" width="17" hidden="0" customWidth="1"/>
    <x:col min="8" max="8" width="17" hidden="0" customWidth="1"/>
    <x:col min="9" max="9" width="34" hidden="0" customWidth="1"/>
    <x:col min="10" max="10" width="23" hidden="0" customWidth="1"/>
    <x:col min="11" max="11" width="15" hidden="0" customWidth="1"/>
    <x:col min="12" max="12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8" customHeight="1">
      <x:c r="A2" s="2"/>
      <x:c r="B2" s="2"/>
      <x:c r="C2" s="4" t="str">
        <x:v>PROJE KAYNAK VE İŞ YÜKÜ</x:v>
      </x:c>
      <x:c r="D2" s="4"/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A3" s="2"/>
      <x:c r="B3" s="2"/>
      <x:c r="C3" s="2" t="str">
        <x:v>EKG-PRJ-MTR-01    Revizyon 00    Düzenleme 17.10.2026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 t="str">
        <x:v>Doküman sorumlusu  Proje Yöneticisi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34" customHeight="1">
      <x:c r="A6" s="6" t="str">
        <x:v>Paralel projelerin dönemsel iş yükünü ve SOP için gerekli yetkin personel açığını görünür kılar.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2" customHeight="1">
      <x:c r="A8" s="8" t="str">
        <x:v>Değerlendirme dönemi</x:v>
      </x:c>
      <x:c r="B8" s="8"/>
      <x:c r="C8" s="9"/>
      <x:c r="D8" s="9"/>
      <x:c r="E8" s="9"/>
      <x:c r="F8" s="9"/>
      <x:c r="G8" s="8" t="str">
        <x:v>Tesis</x:v>
      </x:c>
      <x:c r="H8" s="8"/>
      <x:c r="I8" s="9"/>
      <x:c r="J8" s="9"/>
      <x:c r="K8" s="9"/>
      <x:c r="L8" s="9"/>
    </x:row>
    <x:row r="9" ht="32" customHeight="1">
      <x:c r="A9" s="8" t="str">
        <x:v>Hazırlayan</x:v>
      </x:c>
      <x:c r="B9" s="8"/>
      <x:c r="C9" s="9"/>
      <x:c r="D9" s="9"/>
      <x:c r="E9" s="9"/>
      <x:c r="F9" s="9"/>
      <x:c r="G9" s="8" t="str">
        <x:v>Gözden geçiren</x:v>
      </x:c>
      <x:c r="H9" s="8"/>
      <x:c r="I9" s="9"/>
      <x:c r="J9" s="9"/>
      <x:c r="K9" s="9"/>
      <x:c r="L9" s="9"/>
    </x:row>
    <x:row r="10" ht="32" customHeight="1">
      <x:c r="A10" s="8" t="str">
        <x:v>Yük birimi: saat / dönem</x:v>
      </x:c>
      <x:c r="B10" s="8"/>
      <x:c r="C10" s="9"/>
      <x:c r="D10" s="9"/>
      <x:c r="E10" s="9"/>
      <x:c r="F10" s="9"/>
      <x:c r="G10" s="2"/>
      <x:c r="H10" s="2"/>
      <x:c r="I10" s="2"/>
      <x:c r="J10" s="2"/>
      <x:c r="K10" s="2"/>
      <x:c r="L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37" customHeight="1">
      <x:c r="A12" s="13" t="str">
        <x:v>Dönem / hafta</x:v>
      </x:c>
      <x:c r="B12" s="13" t="str">
        <x:v>Kaynak / görev unvanı</x:v>
      </x:c>
      <x:c r="C12" s="13" t="str">
        <x:v>Yetkinlik / faaliyet</x:v>
      </x:c>
      <x:c r="D12" s="13" t="str">
        <x:v>Kapsanan projeler</x:v>
      </x:c>
      <x:c r="E12" s="13" t="str">
        <x:v>Toplam ihtiyaç (saat)</x:v>
      </x:c>
      <x:c r="F12" s="13" t="str">
        <x:v>Net kullanılabilir (saat)</x:v>
      </x:c>
      <x:c r="G12" s="13" t="str">
        <x:v>Yük oranı</x:v>
      </x:c>
      <x:c r="H12" s="13" t="str">
        <x:v>Açık (saat)</x:v>
      </x:c>
      <x:c r="I12" s="13" t="str">
        <x:v>Kaynak aksiyonu / öncelik</x:v>
      </x:c>
      <x:c r="J12" s="13" t="str">
        <x:v>Sorumlu rol</x:v>
      </x:c>
      <x:c r="K12" s="13" t="str">
        <x:v>Termin</x:v>
      </x:c>
      <x:c r="L12" s="13" t="str">
        <x:v>Karar / kanıt</x:v>
      </x:c>
    </x:row>
    <x:row r="13" ht="28" customHeight="1">
      <x:c r="A13" s="14"/>
      <x:c r="B13" s="14"/>
      <x:c r="C13" s="14"/>
      <x:c r="D13" s="14"/>
      <x:c r="E13" s="19"/>
      <x:c r="F13" s="19"/>
      <x:c r="G13" s="23" t="str">
        <x:f>IF(OR(COUNT(E13:F13)&lt;2,F13&lt;=0),"",E13/F13)</x:f>
      </x:c>
      <x:c r="H13" s="24" t="str">
        <x:f>IF(COUNT(E13:F13)&lt;2,"",MAX(0,E13-F13))</x:f>
      </x:c>
      <x:c r="I13" s="14"/>
      <x:c r="J13" s="14"/>
      <x:c r="K13" s="27"/>
      <x:c r="L13" s="14"/>
    </x:row>
    <x:row r="14" ht="28" customHeight="1">
      <x:c r="A14" s="16"/>
      <x:c r="B14" s="16"/>
      <x:c r="C14" s="16"/>
      <x:c r="D14" s="16"/>
      <x:c r="E14" s="20"/>
      <x:c r="F14" s="20"/>
      <x:c r="G14" s="23" t="str">
        <x:f>IF(OR(COUNT(E14:F14)&lt;2,F14&lt;=0),"",E14/F14)</x:f>
      </x:c>
      <x:c r="H14" s="24" t="str">
        <x:f>IF(COUNT(E14:F14)&lt;2,"",MAX(0,E14-F14))</x:f>
      </x:c>
      <x:c r="I14" s="16"/>
      <x:c r="J14" s="16"/>
      <x:c r="K14" s="28"/>
      <x:c r="L14" s="16"/>
    </x:row>
    <x:row r="15" ht="28" customHeight="1">
      <x:c r="A15" s="14"/>
      <x:c r="B15" s="14"/>
      <x:c r="C15" s="14"/>
      <x:c r="D15" s="14"/>
      <x:c r="E15" s="19"/>
      <x:c r="F15" s="19"/>
      <x:c r="G15" s="23" t="str">
        <x:f>IF(OR(COUNT(E15:F15)&lt;2,F15&lt;=0),"",E15/F15)</x:f>
      </x:c>
      <x:c r="H15" s="24" t="str">
        <x:f>IF(COUNT(E15:F15)&lt;2,"",MAX(0,E15-F15))</x:f>
      </x:c>
      <x:c r="I15" s="14"/>
      <x:c r="J15" s="14"/>
      <x:c r="K15" s="27"/>
      <x:c r="L15" s="14"/>
    </x:row>
    <x:row r="16" ht="28" customHeight="1">
      <x:c r="A16" s="16"/>
      <x:c r="B16" s="16"/>
      <x:c r="C16" s="16"/>
      <x:c r="D16" s="16"/>
      <x:c r="E16" s="20"/>
      <x:c r="F16" s="20"/>
      <x:c r="G16" s="23" t="str">
        <x:f>IF(OR(COUNT(E16:F16)&lt;2,F16&lt;=0),"",E16/F16)</x:f>
      </x:c>
      <x:c r="H16" s="24" t="str">
        <x:f>IF(COUNT(E16:F16)&lt;2,"",MAX(0,E16-F16))</x:f>
      </x:c>
      <x:c r="I16" s="16"/>
      <x:c r="J16" s="16"/>
      <x:c r="K16" s="28"/>
      <x:c r="L16" s="16"/>
    </x:row>
    <x:row r="17" ht="28" customHeight="1">
      <x:c r="A17" s="14"/>
      <x:c r="B17" s="14"/>
      <x:c r="C17" s="14"/>
      <x:c r="D17" s="14"/>
      <x:c r="E17" s="19"/>
      <x:c r="F17" s="19"/>
      <x:c r="G17" s="23" t="str">
        <x:f>IF(OR(COUNT(E17:F17)&lt;2,F17&lt;=0),"",E17/F17)</x:f>
      </x:c>
      <x:c r="H17" s="24" t="str">
        <x:f>IF(COUNT(E17:F17)&lt;2,"",MAX(0,E17-F17))</x:f>
      </x:c>
      <x:c r="I17" s="14"/>
      <x:c r="J17" s="14"/>
      <x:c r="K17" s="27"/>
      <x:c r="L17" s="14"/>
    </x:row>
    <x:row r="18" ht="28" customHeight="1">
      <x:c r="A18" s="16"/>
      <x:c r="B18" s="16"/>
      <x:c r="C18" s="16"/>
      <x:c r="D18" s="16"/>
      <x:c r="E18" s="20"/>
      <x:c r="F18" s="20"/>
      <x:c r="G18" s="23" t="str">
        <x:f>IF(OR(COUNT(E18:F18)&lt;2,F18&lt;=0),"",E18/F18)</x:f>
      </x:c>
      <x:c r="H18" s="24" t="str">
        <x:f>IF(COUNT(E18:F18)&lt;2,"",MAX(0,E18-F18))</x:f>
      </x:c>
      <x:c r="I18" s="16"/>
      <x:c r="J18" s="16"/>
      <x:c r="K18" s="28"/>
      <x:c r="L18" s="16"/>
    </x:row>
    <x:row r="19" ht="28" customHeight="1">
      <x:c r="A19" s="14"/>
      <x:c r="B19" s="14"/>
      <x:c r="C19" s="14"/>
      <x:c r="D19" s="14"/>
      <x:c r="E19" s="19"/>
      <x:c r="F19" s="19"/>
      <x:c r="G19" s="23" t="str">
        <x:f>IF(OR(COUNT(E19:F19)&lt;2,F19&lt;=0),"",E19/F19)</x:f>
      </x:c>
      <x:c r="H19" s="24" t="str">
        <x:f>IF(COUNT(E19:F19)&lt;2,"",MAX(0,E19-F19))</x:f>
      </x:c>
      <x:c r="I19" s="14"/>
      <x:c r="J19" s="14"/>
      <x:c r="K19" s="27"/>
      <x:c r="L19" s="14"/>
    </x:row>
    <x:row r="20" ht="28" customHeight="1">
      <x:c r="A20" s="16"/>
      <x:c r="B20" s="16"/>
      <x:c r="C20" s="16"/>
      <x:c r="D20" s="16"/>
      <x:c r="E20" s="20"/>
      <x:c r="F20" s="20"/>
      <x:c r="G20" s="23" t="str">
        <x:f>IF(OR(COUNT(E20:F20)&lt;2,F20&lt;=0),"",E20/F20)</x:f>
      </x:c>
      <x:c r="H20" s="24" t="str">
        <x:f>IF(COUNT(E20:F20)&lt;2,"",MAX(0,E20-F20))</x:f>
      </x:c>
      <x:c r="I20" s="16"/>
      <x:c r="J20" s="16"/>
      <x:c r="K20" s="28"/>
      <x:c r="L20" s="16"/>
    </x:row>
    <x:row r="21" ht="28" customHeight="1">
      <x:c r="A21" s="14"/>
      <x:c r="B21" s="14"/>
      <x:c r="C21" s="14"/>
      <x:c r="D21" s="14"/>
      <x:c r="E21" s="19"/>
      <x:c r="F21" s="19"/>
      <x:c r="G21" s="23" t="str">
        <x:f>IF(OR(COUNT(E21:F21)&lt;2,F21&lt;=0),"",E21/F21)</x:f>
      </x:c>
      <x:c r="H21" s="24" t="str">
        <x:f>IF(COUNT(E21:F21)&lt;2,"",MAX(0,E21-F21))</x:f>
      </x:c>
      <x:c r="I21" s="14"/>
      <x:c r="J21" s="14"/>
      <x:c r="K21" s="27"/>
      <x:c r="L21" s="14"/>
    </x:row>
    <x:row r="22" ht="28" customHeight="1">
      <x:c r="A22" s="16"/>
      <x:c r="B22" s="16"/>
      <x:c r="C22" s="16"/>
      <x:c r="D22" s="16"/>
      <x:c r="E22" s="20"/>
      <x:c r="F22" s="20"/>
      <x:c r="G22" s="23" t="str">
        <x:f>IF(OR(COUNT(E22:F22)&lt;2,F22&lt;=0),"",E22/F22)</x:f>
      </x:c>
      <x:c r="H22" s="24" t="str">
        <x:f>IF(COUNT(E22:F22)&lt;2,"",MAX(0,E22-F22))</x:f>
      </x:c>
      <x:c r="I22" s="16"/>
      <x:c r="J22" s="16"/>
      <x:c r="K22" s="28"/>
      <x:c r="L22" s="16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34" customHeight="1">
      <x:c r="A24" s="29" t="str">
        <x:v>Aynı kaynak ve dönemin bütün proje ihtiyaçları tek satırda toplanır; aynı kullanılabilir saat tekrar sayılmaz. Net kapasiteye izinler, diğer görevler ve bakım / eğitim yükü dahil edilir. Yük oranı karar desteğidir; atama onayı görev yöneticisinindir.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</x:row>
  </x:sheetData>
  <x:mergeCells>
    <x:mergeCell ref="C2:L2"/>
    <x:mergeCell ref="C3:L3"/>
    <x:mergeCell ref="C4:L4"/>
    <x:mergeCell ref="A6:L6"/>
    <x:mergeCell ref="A8:B8"/>
    <x:mergeCell ref="C8:F8"/>
    <x:mergeCell ref="G8:H8"/>
    <x:mergeCell ref="I8:L8"/>
    <x:mergeCell ref="A9:B9"/>
    <x:mergeCell ref="C9:F9"/>
    <x:mergeCell ref="G9:H9"/>
    <x:mergeCell ref="I9:L9"/>
    <x:mergeCell ref="A10:B10"/>
    <x:mergeCell ref="C10:F10"/>
    <x:mergeCell ref="A24:L24"/>
    <x:mergeCell ref="A27:L27"/>
  </x:mergeCells>
  <x:pageMargins left="0.7" right="0.7" top="0.75" bottom="0.75" header="0.3" footer="0.3"/>
  <x:headerFooter differentOddEven="0" differentFirst="0" scaleWithDoc="0" alignWithMargins="1">
    <x:oddHeader>&amp;L&amp;"Arial,Bold"&amp;11EKG-PRJ-MTR-01&amp;C&amp;"Arial,Regular"&amp;11Proje Kaynak ve İş Yükü Matrisi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3bcbeff35fc94162"/>
  <x:tableParts count="1">
    <x:tablePart xmlns:r="http://schemas.openxmlformats.org/officeDocument/2006/relationships" r:id="R0c15a7fb83024af4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8" hidden="0" customWidth="1"/>
    <x:col min="2" max="2" width="16" hidden="0" customWidth="1"/>
    <x:col min="3" max="3" width="35" hidden="0" customWidth="1"/>
    <x:col min="4" max="4" width="17" hidden="0" customWidth="1"/>
    <x:col min="5" max="5" width="17" hidden="0" customWidth="1"/>
    <x:col min="6" max="6" width="16" hidden="0" customWidth="1"/>
    <x:col min="7" max="7" width="36" hidden="0" customWidth="1"/>
    <x:col min="8" max="8" width="15" hidden="0" customWidth="1"/>
    <x:col min="9" max="9" width="24" hidden="0" customWidth="1"/>
    <x:col min="10" max="10" width="32" hidden="0" customWidth="1"/>
    <x:col min="11" max="11" width="1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4" t="str">
        <x:v>SOP VARDİYA VE YETKİNLİK HAZIRLIĞI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 t="str">
        <x:v>EKG-PRJ-MTR-01    Revizyon 00    Düzenleme 17.10.2026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 t="str">
        <x:v>Doküman sorumlusu  Proje Yöneticisi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Paralel projelerin dönemsel iş yükünü ve SOP için gerekli yetkin personel açığını görünür kılar.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Proje</x:v>
      </x:c>
      <x:c r="B8" s="9"/>
      <x:c r="C8" s="9"/>
      <x:c r="D8" s="9"/>
      <x:c r="E8" s="9"/>
      <x:c r="F8" s="8" t="str">
        <x:v>SOP / rampa takvimi kaynağı</x:v>
      </x:c>
      <x:c r="G8" s="8"/>
      <x:c r="H8" s="9"/>
      <x:c r="I8" s="9"/>
      <x:c r="J8" s="9"/>
      <x:c r="K8" s="9"/>
    </x:row>
    <x:row r="9" ht="32" customHeight="1">
      <x:c r="A9" s="8" t="str">
        <x:v>Vardiya düzeni</x:v>
      </x:c>
      <x:c r="B9" s="9"/>
      <x:c r="C9" s="9"/>
      <x:c r="D9" s="9"/>
      <x:c r="E9" s="9"/>
      <x:c r="F9" s="8" t="str">
        <x:v>Gözden geçirme tarihi</x:v>
      </x:c>
      <x:c r="G9" s="8"/>
      <x:c r="H9" s="9"/>
      <x:c r="I9" s="9"/>
      <x:c r="J9" s="9"/>
      <x:c r="K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37" customHeight="1">
      <x:c r="A11" s="13" t="str">
        <x:v>Operasyon / rol</x:v>
      </x:c>
      <x:c r="B11" s="13" t="str">
        <x:v>Vardiya</x:v>
      </x:c>
      <x:c r="C11" s="13" t="str">
        <x:v>Gerekli beceri / yetki</x:v>
      </x:c>
      <x:c r="D11" s="13" t="str">
        <x:v>Gerekli kişi</x:v>
      </x:c>
      <x:c r="E11" s="13" t="str">
        <x:v>Yetkin kişi</x:v>
      </x:c>
      <x:c r="F11" s="13" t="str">
        <x:v>Açık kişi</x:v>
      </x:c>
      <x:c r="G11" s="13" t="str">
        <x:v>Eğitim / işe alım faaliyeti</x:v>
      </x:c>
      <x:c r="H11" s="13" t="str">
        <x:v>Hazır olma tarihi</x:v>
      </x:c>
      <x:c r="I11" s="13" t="str">
        <x:v>Sorumlu rol</x:v>
      </x:c>
      <x:c r="J11" s="13" t="str">
        <x:v>Yetkinlik / eğitim kanıtı</x:v>
      </x:c>
      <x:c r="K11" s="13" t="str">
        <x:v>Sonuç</x:v>
      </x:c>
    </x:row>
    <x:row r="12" ht="37" customHeight="1">
      <x:c r="A12" s="14" t="str">
        <x:v>Profil kesim / büküm</x:v>
      </x:c>
      <x:c r="B12" s="14"/>
      <x:c r="C12" s="14" t="str">
        <x:v>İş talimatı, ölçüm ve makine kullanım yetkinliği</x:v>
      </x:c>
      <x:c r="D12" s="19"/>
      <x:c r="E12" s="19"/>
      <x:c r="F12" s="24" t="str">
        <x:f>IF(COUNT(D12:E12)&lt;2,"",MAX(0,D12-E12))</x:f>
      </x:c>
      <x:c r="G12" s="14"/>
      <x:c r="H12" s="27"/>
      <x:c r="I12" s="14"/>
      <x:c r="J12" s="14"/>
      <x:c r="K12" s="14"/>
    </x:row>
    <x:row r="13" ht="37" customHeight="1">
      <x:c r="A13" s="16" t="str">
        <x:v>Su tahliye / işleme</x:v>
      </x:c>
      <x:c r="B13" s="16"/>
      <x:c r="C13" s="16" t="str">
        <x:v>Çizim, fikstür ve karakteristik kontrolü</x:v>
      </x:c>
      <x:c r="D13" s="20"/>
      <x:c r="E13" s="20"/>
      <x:c r="F13" s="24" t="str">
        <x:f>IF(COUNT(D13:E13)&lt;2,"",MAX(0,D13-E13))</x:f>
      </x:c>
      <x:c r="G13" s="16"/>
      <x:c r="H13" s="28"/>
      <x:c r="I13" s="16"/>
      <x:c r="J13" s="16"/>
      <x:c r="K13" s="16"/>
    </x:row>
    <x:row r="14" ht="37" customHeight="1">
      <x:c r="A14" s="14" t="str">
        <x:v>Cam-çerçeve montajı</x:v>
      </x:c>
      <x:c r="B14" s="14"/>
      <x:c r="C14" s="14" t="str">
        <x:v>Doğru cam / profil eşleştirme ve montaj kontrolü</x:v>
      </x:c>
      <x:c r="D14" s="19"/>
      <x:c r="E14" s="19"/>
      <x:c r="F14" s="24" t="str">
        <x:f>IF(COUNT(D14:E14)&lt;2,"",MAX(0,D14-E14))</x:f>
      </x:c>
      <x:c r="G14" s="14"/>
      <x:c r="H14" s="27"/>
      <x:c r="I14" s="14"/>
      <x:c r="J14" s="14"/>
      <x:c r="K14" s="14"/>
    </x:row>
    <x:row r="15" ht="37" customHeight="1">
      <x:c r="A15" s="16" t="str">
        <x:v>Yapıştırma / sızdırmazlık</x:v>
      </x:c>
      <x:c r="B15" s="16"/>
      <x:c r="C15" s="16" t="str">
        <x:v>Uygulanabilir ürün ve proses şartlarına göre yetkilendirme</x:v>
      </x:c>
      <x:c r="D15" s="20"/>
      <x:c r="E15" s="20"/>
      <x:c r="F15" s="24" t="str">
        <x:f>IF(COUNT(D15:E15)&lt;2,"",MAX(0,D15-E15))</x:f>
      </x:c>
      <x:c r="G15" s="16"/>
      <x:c r="H15" s="28"/>
      <x:c r="I15" s="16"/>
      <x:c r="J15" s="16"/>
      <x:c r="K15" s="16"/>
    </x:row>
    <x:row r="16" ht="37" customHeight="1">
      <x:c r="A16" s="14" t="str">
        <x:v>Final kontrol</x:v>
      </x:c>
      <x:c r="B16" s="14"/>
      <x:c r="C16" s="14" t="str">
        <x:v>PIS, sınır numune, ölçüm yöntemi ve reaksiyon</x:v>
      </x:c>
      <x:c r="D16" s="19"/>
      <x:c r="E16" s="19"/>
      <x:c r="F16" s="24" t="str">
        <x:f>IF(COUNT(D16:E16)&lt;2,"",MAX(0,D16-E16))</x:f>
      </x:c>
      <x:c r="G16" s="14"/>
      <x:c r="H16" s="27"/>
      <x:c r="I16" s="14"/>
      <x:c r="J16" s="14"/>
      <x:c r="K16" s="14"/>
    </x:row>
    <x:row r="17" ht="37" customHeight="1">
      <x:c r="A17" s="16" t="str">
        <x:v>Güçlendirilmiş kontrol</x:v>
      </x:c>
      <x:c r="B17" s="16"/>
      <x:c r="C17" s="16" t="str">
        <x:v>Bağımsız kontrol ve uygunsuz ürün ayrımı</x:v>
      </x:c>
      <x:c r="D17" s="20"/>
      <x:c r="E17" s="20"/>
      <x:c r="F17" s="24" t="str">
        <x:f>IF(COUNT(D17:E17)&lt;2,"",MAX(0,D17-E17))</x:f>
      </x:c>
      <x:c r="G17" s="16"/>
      <x:c r="H17" s="28"/>
      <x:c r="I17" s="16"/>
      <x:c r="J17" s="16"/>
      <x:c r="K17" s="16"/>
    </x:row>
    <x:row r="18" ht="37" customHeight="1">
      <x:c r="A18" s="14" t="str">
        <x:v>Bakım / ayar</x:v>
      </x:c>
      <x:c r="B18" s="14"/>
      <x:c r="C18" s="14" t="str">
        <x:v>Ekipman ayarı, bakım ve yeniden başlatma</x:v>
      </x:c>
      <x:c r="D18" s="19"/>
      <x:c r="E18" s="19"/>
      <x:c r="F18" s="24" t="str">
        <x:f>IF(COUNT(D18:E18)&lt;2,"",MAX(0,D18-E18))</x:f>
      </x:c>
      <x:c r="G18" s="14"/>
      <x:c r="H18" s="27"/>
      <x:c r="I18" s="14"/>
      <x:c r="J18" s="14"/>
      <x:c r="K18" s="14"/>
    </x:row>
    <x:row r="19" ht="37" customHeight="1">
      <x:c r="A19" s="16" t="str">
        <x:v>Lojistik / ambalaj</x:v>
      </x:c>
      <x:c r="B19" s="16"/>
      <x:c r="C19" s="16" t="str">
        <x:v>Lot, taşıma ekipmanı ve sevkiyat kontrolü</x:v>
      </x:c>
      <x:c r="D19" s="20"/>
      <x:c r="E19" s="20"/>
      <x:c r="F19" s="24" t="str">
        <x:f>IF(COUNT(D19:E19)&lt;2,"",MAX(0,D19-E19))</x:f>
      </x:c>
      <x:c r="G19" s="16"/>
      <x:c r="H19" s="28"/>
      <x:c r="I19" s="16"/>
      <x:c r="J19" s="16"/>
      <x:c r="K19" s="16"/>
    </x:row>
    <x:row r="20" ht="28" customHeight="1">
      <x:c r="A20" s="14"/>
      <x:c r="B20" s="14"/>
      <x:c r="C20" s="14"/>
      <x:c r="D20" s="19"/>
      <x:c r="E20" s="19"/>
      <x:c r="F20" s="24" t="str">
        <x:f>IF(COUNT(D20:E20)&lt;2,"",MAX(0,D20-E20))</x:f>
      </x:c>
      <x:c r="G20" s="14"/>
      <x:c r="H20" s="27"/>
      <x:c r="I20" s="14"/>
      <x:c r="J20" s="14"/>
      <x:c r="K20" s="14"/>
    </x:row>
    <x:row r="21" ht="28" customHeight="1">
      <x:c r="A21" s="16"/>
      <x:c r="B21" s="16"/>
      <x:c r="C21" s="16"/>
      <x:c r="D21" s="20"/>
      <x:c r="E21" s="20"/>
      <x:c r="F21" s="24" t="str">
        <x:f>IF(COUNT(D21:E21)&lt;2,"",MAX(0,D21-E21))</x:f>
      </x:c>
      <x:c r="G21" s="16"/>
      <x:c r="H21" s="28"/>
      <x:c r="I21" s="16"/>
      <x:c r="J21" s="16"/>
      <x:c r="K21" s="16"/>
    </x:row>
    <x:row r="22" ht="28" customHeight="1">
      <x:c r="A22" s="14"/>
      <x:c r="B22" s="14"/>
      <x:c r="C22" s="14"/>
      <x:c r="D22" s="19"/>
      <x:c r="E22" s="19"/>
      <x:c r="F22" s="24" t="str">
        <x:f>IF(COUNT(D22:E22)&lt;2,"",MAX(0,D22-E22))</x:f>
      </x:c>
      <x:c r="G22" s="14"/>
      <x:c r="H22" s="27"/>
      <x:c r="I22" s="14"/>
      <x:c r="J22" s="14"/>
      <x:c r="K22" s="14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33" customHeight="1">
      <x:c r="A24" s="29" t="inlineStr">
        <x:is>
          <x:t xml:space="preserve">Operasyonlar proje akışına göre doğrulanır; kapsam dışı faaliyet gerekçesiyle kapatılır. Aynı kişi eşzamanlı iki vardiya/rolde kapasiteye iki kez sayılmaz. Gereken kişi sayısı onaylı kapasite ve vardiya planından alınır.</x:t>
        </x:is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</x:sheetData>
  <x:mergeCells>
    <x:mergeCell ref="B2:K2"/>
    <x:mergeCell ref="B3:K3"/>
    <x:mergeCell ref="B4:K4"/>
    <x:mergeCell ref="A6:K6"/>
    <x:mergeCell ref="B8:E8"/>
    <x:mergeCell ref="F8:G8"/>
    <x:mergeCell ref="H8:K8"/>
    <x:mergeCell ref="B9:E9"/>
    <x:mergeCell ref="F9:G9"/>
    <x:mergeCell ref="H9:K9"/>
    <x:mergeCell ref="A24:K24"/>
  </x:mergeCells>
  <x:dataValidations count="1">
    <x:dataValidation type="list" sqref="K12:K22">
      <x:formula1>"Uygun,Uygunsuz,Uygulanmaz"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&amp;L&amp;"Arial,Bold"&amp;11EKG-PRJ-MTR-01&amp;C&amp;"Arial,Regular"&amp;11Proje Kaynak ve İş Yükü Matrisi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0657725d958b40dd"/>
  <x:tableParts count="1">
    <x:tablePart xmlns:r="http://schemas.openxmlformats.org/officeDocument/2006/relationships" r:id="R17209e25a2324f06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