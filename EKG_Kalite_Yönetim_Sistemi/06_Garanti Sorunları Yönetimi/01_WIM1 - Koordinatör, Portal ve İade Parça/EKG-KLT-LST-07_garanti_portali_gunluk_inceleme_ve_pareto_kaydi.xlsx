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ünlük İnceleme &amp; Eğilim" sheetId="1" state="visible" r:id="rId1"/>
    <sheet xmlns:r="http://schemas.openxmlformats.org/officeDocument/2006/relationships" name="Pareto &amp; Paynter Analiz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&quot; TL&quot;"/>
    <numFmt numFmtId="165" formatCode="0.0"/>
    <numFmt numFmtId="166" formatCode="0.0%"/>
    <numFmt numFmtId="167" formatCode="0.00"/>
    <numFmt numFmtId="168" formatCode="0"/>
    <numFmt numFmtId="169" formatCode="0.00%"/>
  </numFmts>
  <fonts count="11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164" fontId="3" fillId="0" borderId="1" applyAlignment="1" pivotButton="0" quotePrefix="0" xfId="0">
      <alignment horizontal="right" vertical="center" wrapText="1" shrinkToFit="0"/>
    </xf>
    <xf numFmtId="3" fontId="3" fillId="0" borderId="1" applyAlignment="1" pivotButton="0" quotePrefix="0" xfId="0">
      <alignment horizontal="right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left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164" fontId="3" fillId="4" borderId="1" applyAlignment="1" pivotButton="0" quotePrefix="0" xfId="0">
      <alignment horizontal="right" vertical="center" wrapText="1" shrinkToFit="0"/>
    </xf>
    <xf numFmtId="3" fontId="3" fillId="4" borderId="1" applyAlignment="1" pivotButton="0" quotePrefix="0" xfId="0">
      <alignment horizontal="right" vertical="center" wrapText="1" shrinkToFit="0"/>
    </xf>
    <xf numFmtId="0" fontId="3" fillId="6" borderId="1" applyAlignment="1" pivotButton="0" quotePrefix="0" xfId="0">
      <alignment horizontal="center" vertical="center" wrapText="1" shrinkToFit="0"/>
    </xf>
    <xf numFmtId="0" fontId="4" fillId="7" borderId="1" applyAlignment="1" pivotButton="0" quotePrefix="0" xfId="0">
      <alignment horizontal="left" vertical="center" wrapText="1" shrinkToFit="0"/>
    </xf>
    <xf numFmtId="0" fontId="0" fillId="7" borderId="1" pivotButton="0" quotePrefix="0" xfId="0" applyAlignment="1">
      <alignment wrapText="1" shrinkToFit="0" vertical="top"/>
    </xf>
    <xf numFmtId="164" fontId="4" fillId="7" borderId="1" applyAlignment="1" pivotButton="0" quotePrefix="0" xfId="0">
      <alignment horizontal="right" vertical="center" wrapText="1" shrinkToFit="0"/>
    </xf>
    <xf numFmtId="165" fontId="4" fillId="7" borderId="1" applyAlignment="1" pivotButton="0" quotePrefix="0" xfId="0">
      <alignment horizontal="right" vertical="center" wrapText="1" shrinkToFit="0"/>
    </xf>
    <xf numFmtId="0" fontId="4" fillId="0" borderId="0" pivotButton="0" quotePrefix="0" xfId="0" applyAlignment="1">
      <alignment wrapText="1" shrinkToFit="0" vertical="top"/>
    </xf>
    <xf numFmtId="0" fontId="2" fillId="8" borderId="0" applyAlignment="1" pivotButton="0" quotePrefix="0" xfId="0">
      <alignment horizontal="center" vertical="center" wrapText="1" shrinkToFit="0"/>
    </xf>
    <xf numFmtId="166" fontId="3" fillId="0" borderId="1" applyAlignment="1" pivotButton="0" quotePrefix="0" xfId="0">
      <alignment horizontal="right" vertical="center" wrapText="1" shrinkToFit="0"/>
    </xf>
    <xf numFmtId="3" fontId="4" fillId="7" borderId="1" applyAlignment="1" pivotButton="0" quotePrefix="0" xfId="0">
      <alignment horizontal="right" vertical="center" wrapText="1" shrinkToFit="0"/>
    </xf>
    <xf numFmtId="0" fontId="5" fillId="9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10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167" fontId="3" fillId="0" borderId="1" applyAlignment="1" pivotButton="0" quotePrefix="0" xfId="0" applyNumberFormat="1">
      <alignment horizontal="right" vertical="center" wrapText="1" shrinkToFit="0"/>
    </xf>
    <xf numFmtId="167" fontId="3" fillId="4" borderId="1" applyAlignment="1" pivotButton="0" quotePrefix="0" xfId="0" applyNumberFormat="1">
      <alignment horizontal="right" vertical="center" wrapText="1" shrinkToFit="0"/>
    </xf>
    <xf numFmtId="167" fontId="4" fillId="7" borderId="1" applyAlignment="1" pivotButton="0" quotePrefix="0" xfId="0" applyNumberFormat="1">
      <alignment horizontal="right" vertical="center" wrapText="1" shrinkToFit="0"/>
    </xf>
    <xf numFmtId="165" fontId="3" fillId="0" borderId="1" applyAlignment="1" pivotButton="0" quotePrefix="0" xfId="0" applyNumberFormat="1">
      <alignment horizontal="right" vertical="center" wrapText="1" shrinkToFit="0"/>
    </xf>
    <xf numFmtId="165" fontId="3" fillId="4" borderId="1" applyAlignment="1" pivotButton="0" quotePrefix="0" xfId="0" applyNumberFormat="1">
      <alignment horizontal="right" vertical="center" wrapText="1" shrinkToFit="0"/>
    </xf>
    <xf numFmtId="165" fontId="4" fillId="7" borderId="1" applyAlignment="1" pivotButton="0" quotePrefix="0" xfId="0" applyNumberFormat="1">
      <alignment horizontal="right" vertical="center" wrapText="1" shrinkToFit="0"/>
    </xf>
    <xf numFmtId="168" fontId="10" fillId="0" borderId="0" xfId="0" applyFont="1" applyAlignment="1" applyNumberFormat="1">
      <alignment wrapText="1" vertical="top" shrinkToFit="0"/>
    </xf>
    <xf numFmtId="169" fontId="10" fillId="0" borderId="0" xfId="0" applyFont="1" applyAlignment="1" applyNumberForma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  <xf numFmtId="168" fontId="10" fillId="0" borderId="4" xfId="0" applyFont="1" applyAlignment="1" applyNumberFormat="1" applyBorder="1">
      <alignment wrapText="1" vertical="top" shrinkToFit="0"/>
    </xf>
    <xf numFmtId="169" fontId="10" fillId="0" borderId="5" xfId="0" applyFont="1" applyAlignment="1" applyNumberForma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34" customWidth="1" min="4" max="4"/>
    <col width="19" customWidth="1" min="5" max="5"/>
    <col width="19" customWidth="1" min="6" max="6"/>
    <col width="25" customWidth="1" min="7" max="7"/>
    <col width="24" customWidth="1" min="8" max="8"/>
    <col min="9" max="9" width="11.864" customWidth="1"/>
  </cols>
  <sheetData>
    <row r="1" ht="25" customHeight="1">
      <c r="A1" s="1" t="inlineStr">
        <is>
          <t>GARANTİ PORTALI GÜNLÜK İNCELEME VE HASAR EĞİLİMİ TAKİBİ</t>
        </is>
      </c>
    </row>
    <row r="3" ht="36" customHeight="1">
      <c r="A3" s="2" t="inlineStr">
        <is>
          <t>Kayıt ID</t>
        </is>
      </c>
      <c r="B3" s="2" t="inlineStr">
        <is>
          <t>İnceleme Tarihi</t>
        </is>
      </c>
      <c r="C3" s="2" t="inlineStr">
        <is>
          <t>Hata Kategorisi</t>
        </is>
      </c>
      <c r="D3" s="2" t="inlineStr">
        <is>
          <t>Hasar/Arıza Detayı</t>
        </is>
      </c>
      <c r="E3" s="2" t="inlineStr">
        <is>
          <t>İstasyon / Hat</t>
        </is>
      </c>
      <c r="F3" s="2" t="inlineStr">
        <is>
          <t>İnceleme Durumu</t>
        </is>
      </c>
      <c r="G3" s="2" t="inlineStr">
        <is>
          <t xml:space="preserve">Maliyet / seçilen para birimi</t>
        </is>
      </c>
      <c r="H3" s="2" t="inlineStr">
        <is>
          <t>Kapatma Süresi (Gün)</t>
        </is>
      </c>
    </row>
    <row r="4" ht="20" customHeight="1">
      <c r="A4" s="3" t="n"/>
      <c r="B4" s="3" t="n"/>
      <c r="C4" s="4" t="n"/>
      <c r="D4" s="4" t="n"/>
      <c r="E4" s="3" t="n"/>
      <c r="F4" s="5" t="n"/>
      <c r="G4" s="28" t="n"/>
      <c r="H4" s="31" t="n"/>
    </row>
    <row r="5" ht="20" customHeight="1">
      <c r="A5" s="8" t="n"/>
      <c r="B5" s="8" t="n"/>
      <c r="C5" s="9" t="n"/>
      <c r="D5" s="9" t="n"/>
      <c r="E5" s="8" t="n"/>
      <c r="F5" s="10" t="n"/>
      <c r="G5" s="29" t="n"/>
      <c r="H5" s="32" t="n"/>
    </row>
    <row r="6" ht="20" customHeight="1">
      <c r="A6" s="3" t="n"/>
      <c r="B6" s="3" t="n"/>
      <c r="C6" s="4" t="n"/>
      <c r="D6" s="4" t="n"/>
      <c r="E6" s="3" t="n"/>
      <c r="F6" s="5" t="n"/>
      <c r="G6" s="28" t="n"/>
      <c r="H6" s="31" t="n"/>
    </row>
    <row r="7" ht="20" customHeight="1">
      <c r="A7" s="8" t="n"/>
      <c r="B7" s="8" t="n"/>
      <c r="C7" s="9" t="n"/>
      <c r="D7" s="9" t="n"/>
      <c r="E7" s="8" t="n"/>
      <c r="F7" s="13" t="n"/>
      <c r="G7" s="29" t="n"/>
      <c r="H7" s="32" t="n"/>
    </row>
    <row r="8" ht="20" customHeight="1">
      <c r="A8" s="3" t="n"/>
      <c r="B8" s="3" t="n"/>
      <c r="C8" s="4" t="n"/>
      <c r="D8" s="4" t="n"/>
      <c r="E8" s="3" t="n"/>
      <c r="F8" s="5" t="n"/>
      <c r="G8" s="28" t="n"/>
      <c r="H8" s="31" t="n"/>
    </row>
    <row r="9" ht="20" customHeight="1">
      <c r="A9" s="8" t="n"/>
      <c r="B9" s="8" t="n"/>
      <c r="C9" s="9" t="n"/>
      <c r="D9" s="9" t="n"/>
      <c r="E9" s="8" t="n"/>
      <c r="F9" s="5" t="n"/>
      <c r="G9" s="29" t="n"/>
      <c r="H9" s="32" t="n"/>
    </row>
    <row r="10" ht="20" customHeight="1">
      <c r="A10" s="3" t="n"/>
      <c r="B10" s="3" t="n"/>
      <c r="C10" s="4" t="n"/>
      <c r="D10" s="4" t="n"/>
      <c r="E10" s="3" t="n"/>
      <c r="F10" s="10" t="n"/>
      <c r="G10" s="28" t="n"/>
      <c r="H10" s="31" t="n"/>
    </row>
    <row r="11" ht="20" customHeight="1">
      <c r="A11" s="8" t="n"/>
      <c r="B11" s="8" t="n"/>
      <c r="C11" s="9" t="n"/>
      <c r="D11" s="9" t="n"/>
      <c r="E11" s="8" t="n"/>
      <c r="F11" s="13" t="n"/>
      <c r="G11" s="29" t="n"/>
      <c r="H11" s="32" t="n"/>
    </row>
    <row r="12" ht="20" customHeight="1">
      <c r="A12" s="3" t="n"/>
      <c r="B12" s="3" t="n"/>
      <c r="C12" s="4" t="n"/>
      <c r="D12" s="4" t="n"/>
      <c r="E12" s="3" t="n"/>
      <c r="F12" s="10" t="n"/>
      <c r="G12" s="28" t="n"/>
      <c r="H12" s="31" t="n"/>
    </row>
    <row r="13" ht="20" customHeight="1">
      <c r="A13" s="8" t="n"/>
      <c r="B13" s="8" t="n"/>
      <c r="C13" s="9" t="n"/>
      <c r="D13" s="9" t="n"/>
      <c r="E13" s="8" t="n"/>
      <c r="F13" s="5" t="n"/>
      <c r="G13" s="29" t="n"/>
      <c r="H13" s="32" t="n"/>
    </row>
    <row r="14" ht="19" customHeight="1">
      <c r="A14" s="14" t="inlineStr">
        <is>
          <t>Toplam / Ortalama</t>
        </is>
      </c>
      <c r="B14" s="15" t="n"/>
      <c r="C14" s="15" t="n"/>
      <c r="D14" s="15" t="n"/>
      <c r="E14" s="15" t="n"/>
      <c r="F14" s="15" t="n"/>
      <c r="G14" s="30">
        <f>SUM(G4:G13)</f>
        <v/>
      </c>
      <c r="H14" s="33">
        <f>IFERROR(AVERAGE(H4:H13),"")</f>
      </c>
    </row>
    <row r="16" ht="215" customHeight="1">
      <c r="A16" t="inlineStr">
        <is>
          <t xml:space="preserve">Tekil olay no müşteri talebine bağlanır. Maliyet aynı para biriminde izlenir; kapatma süresi yalnız kapanmış kayıtlar için girilir. İnceleyen, inceleme tarihi ve aksiyon/8D no olay kaydında belirtilir.</t>
        </is>
      </c>
    </row>
  </sheetData>
  <mergeCells count="1">
    <mergeCell ref="A1:I1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&amp;L&amp;"Arial,Bold"&amp;11EKG-KLT-LST-07&amp;C&amp;"Arial,Regular"&amp;11Garanti Portalı Günlük İnceleme ve Pareto Kaydı</oddHeader>
    <oddFooter>&amp;L&amp;"Arial,Regular"&amp;11İlk Yayın: 10.06.2026 | Revizyon: 21.09.2026
Revizyon nedeni: Garanti kayıt kategorileri cam ürünlerine uyarlandı; boş veri ve Pareto/Paynter sayım kuralları düzeltildi.&amp;R&amp;11Sayfa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7.000" customWidth="1"/>
    <col min="3" max="3" width="7.000" customWidth="1"/>
    <col min="4" max="4" width="13.200" customWidth="1"/>
    <col min="5" max="5" width="7.600" customWidth="1"/>
    <col min="6" max="6" width="7.600" customWidth="1"/>
    <col min="7" max="7" width="7.600" customWidth="1"/>
    <col min="8" max="8" width="7.600" customWidth="1"/>
    <col min="9" max="9" width="12.400" customWidth="1"/>
  </cols>
  <sheetData>
    <row r="1" ht="19" customHeight="1">
      <c r="A1" s="25" t="inlineStr">
        <is>
          <t xml:space="preserve">CAM / PENCERE GARANTİ PARETO VE PAYNTER ANALİZİ</t>
        </is>
      </c>
    </row>
    <row r="2" ht="19" customHeight="1">
      <c r="A2" s="26" t="inlineStr">
        <is>
          <t xml:space="preserve">Dönem / tesis / parça ailesi / sayım kaynağı</t>
        </is>
      </c>
      <c r="B2" s="26"/>
    </row>
    <row r="3" ht="19" customHeight="1">
      <c r="A3" s="26" t="inlineStr">
        <is>
          <t xml:space="preserve">Pareto: frekansa göre büyükten küçüğe sıralayın; aynı kayıt iki kategoride sayılmasın.</t>
        </is>
      </c>
    </row>
    <row r="4" ht="36" customHeight="1">
      <c r="A4" s="36" t="inlineStr">
        <is>
          <t xml:space="preserve">Hata kategorisi</t>
        </is>
      </c>
      <c r="B4" s="36" t="inlineStr">
        <is>
          <t xml:space="preserve">Adet</t>
        </is>
      </c>
      <c r="C4" s="36" t="inlineStr">
        <is>
          <t xml:space="preserve">Oran</t>
        </is>
      </c>
      <c r="D4" s="36" t="inlineStr">
        <is>
          <t xml:space="preserve">Kümülatif oran</t>
        </is>
      </c>
      <c r="E4" s="36" t="inlineStr">
        <is>
          <t xml:space="preserve">Dönem 1</t>
        </is>
      </c>
      <c r="F4" s="36" t="inlineStr">
        <is>
          <t xml:space="preserve">Dönem 2</t>
        </is>
      </c>
      <c r="G4" s="36" t="inlineStr">
        <is>
          <t xml:space="preserve">Dönem 3</t>
        </is>
      </c>
      <c r="H4" s="36" t="inlineStr">
        <is>
          <t xml:space="preserve">Dönem 4</t>
        </is>
      </c>
      <c r="I4" s="36" t="inlineStr">
        <is>
          <t xml:space="preserve">Trend toplamı</t>
        </is>
      </c>
    </row>
    <row r="5" ht="19" customHeight="1">
      <c r="A5" s="37" t="inlineStr">
        <is>
          <t xml:space="preserve">Cam kırılması / çatlak</t>
        </is>
      </c>
      <c r="B5" s="38"/>
      <c r="C5" s="39">
        <f>IFERROR(B5/SUM($B$5:$B$10),"")</f>
      </c>
      <c r="D5" s="39">
        <f>IF(C5="","",SUM($C$5:C5))</f>
      </c>
      <c r="E5" s="38"/>
      <c r="F5" s="38"/>
      <c r="G5" s="38"/>
      <c r="H5" s="38"/>
      <c r="I5" s="38">
        <f>IF(COUNT(E5:H5)=0,"",SUM(E5:H5))</f>
      </c>
    </row>
    <row r="6" ht="19" customHeight="1">
      <c r="A6" s="37" t="inlineStr">
        <is>
          <t xml:space="preserve">Sızdırmazlık</t>
        </is>
      </c>
      <c r="B6" s="38"/>
      <c r="C6" s="39">
        <f>IFERROR(B6/SUM($B$5:$B$10),"")</f>
      </c>
      <c r="D6" s="39">
        <f>IF(C6="","",SUM($C$5:C6))</f>
      </c>
      <c r="E6" s="38"/>
      <c r="F6" s="38"/>
      <c r="G6" s="38"/>
      <c r="H6" s="38"/>
      <c r="I6" s="38">
        <f>IF(COUNT(E6:H6)=0,"",SUM(E6:H6))</f>
      </c>
    </row>
    <row r="7" ht="19" customHeight="1">
      <c r="A7" s="37" t="inlineStr">
        <is>
          <t xml:space="preserve">Sürgü / kilit / çerçeve</t>
        </is>
      </c>
      <c r="B7" s="38"/>
      <c r="C7" s="39">
        <f>IFERROR(B7/SUM($B$5:$B$10),"")</f>
      </c>
      <c r="D7" s="39">
        <f>IF(C7="","",SUM($C$5:C7))</f>
      </c>
      <c r="E7" s="38"/>
      <c r="F7" s="38"/>
      <c r="G7" s="38"/>
      <c r="H7" s="38"/>
      <c r="I7" s="38">
        <f>IF(COUNT(E7:H7)=0,"",SUM(E7:H7))</f>
      </c>
    </row>
    <row r="8" ht="19" customHeight="1">
      <c r="A8" s="37" t="inlineStr">
        <is>
          <t xml:space="preserve">Isıtma / bağlantı</t>
        </is>
      </c>
      <c r="B8" s="38"/>
      <c r="C8" s="39">
        <f>IFERROR(B8/SUM($B$5:$B$10),"")</f>
      </c>
      <c r="D8" s="39">
        <f>IF(C8="","",SUM($C$5:C8))</f>
      </c>
      <c r="E8" s="38"/>
      <c r="F8" s="38"/>
      <c r="G8" s="38"/>
      <c r="H8" s="38"/>
      <c r="I8" s="38">
        <f>IF(COUNT(E8:H8)=0,"",SUM(E8:H8))</f>
      </c>
    </row>
    <row r="9" ht="19" customHeight="1">
      <c r="A9" s="37" t="inlineStr">
        <is>
          <t xml:space="preserve">Görünüş / baskı</t>
        </is>
      </c>
      <c r="B9" s="38"/>
      <c r="C9" s="39">
        <f>IFERROR(B9/SUM($B$5:$B$10),"")</f>
      </c>
      <c r="D9" s="39">
        <f>IF(C9="","",SUM($C$5:C9))</f>
      </c>
      <c r="E9" s="38"/>
      <c r="F9" s="38"/>
      <c r="G9" s="38"/>
      <c r="H9" s="38"/>
      <c r="I9" s="38">
        <f>IF(COUNT(E9:H9)=0,"",SUM(E9:H9))</f>
      </c>
    </row>
    <row r="10" ht="19" customHeight="1">
      <c r="A10" s="37" t="inlineStr">
        <is>
          <t xml:space="preserve">Diğer (açıklanır)</t>
        </is>
      </c>
      <c r="B10" s="38"/>
      <c r="C10" s="39">
        <f>IFERROR(B10/SUM($B$5:$B$10),"")</f>
      </c>
      <c r="D10" s="39">
        <f>IF(C10="","",SUM($C$5:C10))</f>
      </c>
      <c r="E10" s="38"/>
      <c r="F10" s="38"/>
      <c r="G10" s="38"/>
      <c r="H10" s="38"/>
      <c r="I10" s="38">
        <f>IF(COUNT(E10:H10)=0,"",SUM(E10:H10))</f>
      </c>
    </row>
    <row r="11" ht="131" customHeight="1">
      <c r="A11" s="27" t="inlineStr">
        <is>
          <t xml:space="preserve">Dönem başlıklarına gerçek tarih aralıklarını yazın. Pareto/Paynter aynı olay, adet ve tarih kapsamını kullanır. Boş dönem sıfır arıza demek değildir; maruziyet farkı varsa ham adet trendiyle risk kararı verilmez.</t>
        </is>
      </c>
    </row>
  </sheetData>
  <mergeCells count="3">
    <mergeCell ref="A1:I1"/>
    <mergeCell ref="A2:I2"/>
    <mergeCell ref="A3:I3"/>
  </mergeCells>
  <pageSetup scale="100"/>
  <headerFooter differentOddEven="0" differentFirst="0" scaleWithDoc="0" alignWithMargins="1">
    <oddHeader>&amp;L&amp;"Arial,Bold"&amp;11EKG-KLT-LST-07&amp;C&amp;"Arial,Regular"&amp;11Garanti Portalı Günlük İnceleme ve Pareto Kaydı</oddHeader>
    <oddFooter>&amp;L&amp;"Arial,Regular"&amp;11İlk Yayın: 10.06.2026 | Revizyon: 21.09.2026
Revizyon nedeni: Garanti kayıt kategorileri cam ürünlerine uyarlandı; boş veri ve Pareto/Paynter sayım kuralları düzeltildi.&amp;R&amp;11Sayfa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2026-06-10T09:00:00Z</dcterms:created>
  <dcterms:modified xmlns:dcterms="http://purl.org/dc/terms/" xmlns:xsi="http://www.w3.org/2001/XMLSchema-instance" xsi:type="dcterms:W3CDTF">2026-10-19T09:00:00Z</dcterms:modified>
</cp:coreProperties>
</file>