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" windowWidth="0" windowHeight="0" tabRatio="600" firstSheet="0" activeTab="0" autoFilterDateGrouping="1"/>
  </bookViews>
  <sheets>
    <sheet xmlns:r="http://schemas.openxmlformats.org/officeDocument/2006/relationships" name="Gösterge Paneli" sheetId="1" state="visible" r:id="rId1"/>
    <sheet xmlns:r="http://schemas.openxmlformats.org/officeDocument/2006/relationships" name="Garanti Metrikler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dd.mm.yyyy"/>
    <numFmt numFmtId="166" formatCode="0.0"/>
    <numFmt numFmtId="167" formatCode="0"/>
  </numFmts>
  <fonts count="19">
    <font>
      <name val="Calibri"/>
      <charset val="162"/>
      <family val="2"/>
      <color rgb="FF000000"/>
      <sz val="11"/>
    </font>
    <font>
      <name val="Arial"/>
      <charset val="162"/>
      <family val="2"/>
      <color rgb="FF000000"/>
      <sz val="10"/>
    </font>
    <font>
      <name val="Segoe UI"/>
      <charset val="162"/>
      <family val="2"/>
      <b val="1"/>
      <color rgb="FFFFFFFF"/>
      <sz val="16"/>
    </font>
    <font>
      <name val="Segoe UI"/>
      <charset val="162"/>
      <family val="2"/>
      <b val="1"/>
      <color rgb="FF595959"/>
      <sz val="10"/>
    </font>
    <font>
      <name val="Segoe UI"/>
      <charset val="162"/>
      <family val="2"/>
      <b val="1"/>
      <color rgb="FF1B365D"/>
      <sz val="18"/>
    </font>
    <font>
      <name val="Segoe UI"/>
      <charset val="162"/>
      <family val="2"/>
      <b val="1"/>
      <color rgb="FF9C0006"/>
      <sz val="18"/>
    </font>
    <font>
      <name val="Segoe UI"/>
      <charset val="162"/>
      <family val="2"/>
      <b val="1"/>
      <color rgb="FF1B365D"/>
      <sz val="12"/>
    </font>
    <font>
      <name val="Segoe UI"/>
      <charset val="162"/>
      <family val="2"/>
      <b val="1"/>
      <color rgb="FFFFFFFF"/>
      <sz val="10"/>
    </font>
    <font>
      <name val="Segoe UI"/>
      <charset val="162"/>
      <family val="2"/>
      <color rgb="FF000000"/>
      <sz val="10"/>
    </font>
    <font>
      <name val="Segoe UI"/>
      <charset val="162"/>
      <family val="2"/>
      <b val="1"/>
      <color rgb="FF9C0006"/>
      <sz val="10"/>
    </font>
    <font>
      <name val="Segoe UI"/>
      <charset val="162"/>
      <family val="2"/>
      <b val="1"/>
      <color rgb="FF9C6500"/>
      <sz val="10"/>
    </font>
    <font>
      <name val="Segoe UI"/>
      <charset val="162"/>
      <family val="2"/>
      <b val="1"/>
      <color rgb="FF006100"/>
      <sz val="10"/>
    </font>
    <font>
      <name val="Segoe UI"/>
      <charset val="162"/>
      <family val="2"/>
      <b val="1"/>
      <color rgb="FF1B365D"/>
      <sz val="14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FF1B365D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4A777A"/>
        <bgColor rgb="FFFFFFFF"/>
      </patternFill>
    </fill>
    <fill>
      <patternFill/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13"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>
        <color rgb="FFE0E0E0"/>
      </bottom>
    </border>
    <border>
      <left>
        <color rgb="FF000000"/>
      </left>
      <right>
        <color rgb="FF000000"/>
      </right>
      <top>
        <color rgb="FF000000"/>
      </top>
      <bottom style="thin">
        <color rgb="FFE0E0E0"/>
      </bottom>
    </border>
    <border>
      <left>
        <color rgb="FF000000"/>
      </left>
      <right>
        <color rgb="FF000000"/>
      </right>
      <top>
        <color rgb="FF000000"/>
      </top>
      <bottom style="thin">
        <color rgb="FFE0E0E0"/>
      </bottom>
    </border>
    <border>
      <left>
        <color rgb="FF000000"/>
      </left>
      <right>
        <color rgb="FF000000"/>
      </right>
      <top>
        <color rgb="FF000000"/>
      </top>
      <bottom style="thin">
        <color rgb="FFE0E0E0"/>
      </bottom>
    </border>
    <border>
      <left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5" borderId="3"/>
  </cellStyleXfs>
  <cellXfs count="31">
    <xf numFmtId="0" fontId="0" fillId="0" borderId="0" pivotButton="0" quotePrefix="0" xfId="0" applyAlignment="1">
      <alignment wrapText="1" shrinkToFit="0" vertical="top"/>
    </xf>
    <xf numFmtId="0" fontId="2" fillId="2" borderId="1" applyAlignment="1" pivotButton="0" quotePrefix="0" xfId="0">
      <alignment horizontal="center" vertical="center" wrapText="1" shrinkToFit="0"/>
    </xf>
    <xf numFmtId="0" fontId="3" fillId="3" borderId="2" applyAlignment="1" pivotButton="0" quotePrefix="0" xfId="0">
      <alignment horizontal="center" wrapText="1" shrinkToFit="0" vertical="top"/>
    </xf>
    <xf numFmtId="0" fontId="0" fillId="3" borderId="2" pivotButton="0" quotePrefix="0" xfId="0" applyAlignment="1">
      <alignment wrapText="1" shrinkToFit="0" vertical="top"/>
    </xf>
    <xf numFmtId="0" fontId="4" fillId="3" borderId="2" applyAlignment="1" pivotButton="0" quotePrefix="0" xfId="0">
      <alignment horizontal="center" wrapText="1" shrinkToFit="0" vertical="top"/>
    </xf>
    <xf numFmtId="0" fontId="5" fillId="3" borderId="2" applyAlignment="1" pivotButton="0" quotePrefix="0" xfId="0">
      <alignment horizontal="center" wrapText="1" shrinkToFit="0" vertical="top"/>
    </xf>
    <xf numFmtId="0" fontId="6" fillId="0" borderId="0" pivotButton="0" quotePrefix="0" xfId="0" applyAlignment="1">
      <alignment wrapText="1" shrinkToFit="0" vertical="top"/>
    </xf>
    <xf numFmtId="0" fontId="7" fillId="4" borderId="3" applyAlignment="1" pivotButton="0" quotePrefix="0" xfId="0">
      <alignment horizontal="center" vertical="center" wrapText="1" shrinkToFit="0"/>
    </xf>
    <xf numFmtId="0" fontId="8" fillId="0" borderId="4" pivotButton="0" quotePrefix="0" xfId="0" applyAlignment="1">
      <alignment wrapText="1" shrinkToFit="0" vertical="top"/>
    </xf>
    <xf numFmtId="0" fontId="8" fillId="0" borderId="4" applyAlignment="1" pivotButton="0" quotePrefix="0" xfId="0">
      <alignment horizontal="center" wrapText="1" shrinkToFit="0" vertical="top"/>
    </xf>
    <xf numFmtId="0" fontId="9" fillId="6" borderId="5" applyAlignment="1" pivotButton="0" quotePrefix="0" xfId="0">
      <alignment horizontal="center" wrapText="1" shrinkToFit="0" vertical="top"/>
    </xf>
    <xf numFmtId="0" fontId="10" fillId="7" borderId="6" applyAlignment="1" pivotButton="0" quotePrefix="0" xfId="0">
      <alignment horizontal="center" wrapText="1" shrinkToFit="0" vertical="top"/>
    </xf>
    <xf numFmtId="0" fontId="11" fillId="8" borderId="7" applyAlignment="1" pivotButton="0" quotePrefix="0" xfId="0">
      <alignment horizontal="center" wrapText="1" shrinkToFit="0" vertical="top"/>
    </xf>
    <xf numFmtId="0" fontId="12" fillId="0" borderId="0" pivotButton="0" quotePrefix="0" xfId="0" applyAlignment="1">
      <alignment wrapText="1" shrinkToFit="0" vertical="top"/>
    </xf>
    <xf numFmtId="0" fontId="7" fillId="2" borderId="1" applyAlignment="1" pivotButton="0" quotePrefix="0" xfId="0">
      <alignment horizontal="center" wrapText="1" shrinkToFit="0" vertical="top"/>
    </xf>
    <xf numFmtId="164" fontId="8" fillId="0" borderId="4" applyAlignment="1" pivotButton="0" quotePrefix="0" xfId="0">
      <alignment horizontal="right" wrapText="1" shrinkToFit="0" vertical="top"/>
    </xf>
    <xf numFmtId="2" fontId="8" fillId="0" borderId="4" applyAlignment="1" pivotButton="0" quotePrefix="0" xfId="0">
      <alignment horizontal="right" wrapText="1" shrinkToFit="0" vertical="top"/>
    </xf>
    <xf numFmtId="0" fontId="0" fillId="0" borderId="10" pivotButton="0" quotePrefix="0" xfId="0" applyAlignment="1">
      <alignment wrapText="1" shrinkToFit="0" vertical="top"/>
    </xf>
    <xf numFmtId="0" fontId="13" fillId="9" borderId="0" xfId="0" applyFont="1" applyAlignment="1" applyFill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10" borderId="0" xfId="0" applyFont="1" applyAlignment="1">
      <alignment wrapText="1" vertical="top" shrinkToFit="0"/>
    </xf>
    <xf numFmtId="0" fontId="17" fillId="0" borderId="0" xfId="0" applyFont="1" applyAlignment="1">
      <alignment wrapText="1" vertical="top" shrinkToFit="0"/>
    </xf>
    <xf numFmtId="0" fontId="18" fillId="0" borderId="0" xfId="0" applyFont="1" applyAlignment="1">
      <alignment wrapText="1" vertical="top" shrinkToFit="0"/>
    </xf>
    <xf numFmtId="165" fontId="17" fillId="0" borderId="0" xfId="0" applyFont="1" applyAlignment="1" applyNumberFormat="1">
      <alignment wrapText="1" vertical="top" shrinkToFit="0"/>
    </xf>
    <xf numFmtId="165" fontId="18" fillId="0" borderId="0" xfId="0" applyFont="1" applyAlignment="1" applyNumberFormat="1">
      <alignment wrapText="1" vertical="top" shrinkToFit="0"/>
    </xf>
    <xf numFmtId="166" fontId="17" fillId="0" borderId="0" xfId="0" applyFont="1" applyAlignment="1" applyNumberFormat="1">
      <alignment wrapText="1" vertical="top" shrinkToFit="0"/>
    </xf>
    <xf numFmtId="166" fontId="18" fillId="0" borderId="0" xfId="0" applyFont="1" applyAlignment="1" applyNumberFormat="1">
      <alignment wrapText="1" vertical="top" shrinkToFit="0"/>
    </xf>
    <xf numFmtId="167" fontId="17" fillId="0" borderId="0" xfId="0" applyFont="1" applyAlignment="1" applyNumberFormat="1">
      <alignment wrapText="1" vertical="top" shrinkToFit="0"/>
    </xf>
    <xf numFmtId="0" fontId="17" fillId="0" borderId="11" xfId="0" applyFont="1" applyAlignment="1" applyBorder="1">
      <alignment wrapText="1" vertical="top" shrinkToFit="0"/>
    </xf>
    <xf numFmtId="0" fontId="18" fillId="0" borderId="12" xfId="0" applyFont="1" applyAlignment="1" applyBorder="1">
      <alignment wrapText="1" vertical="top" shrinkToFit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0.800" customWidth="1"/>
    <col min="3" max="3" width="13.200" customWidth="1"/>
    <col min="4" max="4" width="13.200" customWidth="1"/>
    <col min="5" max="5" width="14.800" customWidth="1"/>
    <col min="6" max="6" width="14.800" customWidth="1"/>
    <col min="7" max="7" width="12.400" customWidth="1"/>
  </cols>
  <sheetData>
    <row r="1" ht="19" customHeight="1">
      <c r="A1" s="21" t="inlineStr">
        <is>
          <t xml:space="preserve">GARANTİ GÖSTERGELERİ VE İŞ İSTASYONU UYARI PANOSU</t>
        </is>
      </c>
    </row>
    <row r="2" ht="19" customHeight="1">
      <c r="A2" s="22" t="inlineStr">
        <is>
          <t xml:space="preserve">Dönem / son güncelleme / veri sahibi</t>
        </is>
      </c>
      <c r="B2" s="22"/>
    </row>
    <row r="3" ht="19" customHeight="1">
      <c r="A3" s="22" t="inlineStr">
        <is>
          <t xml:space="preserve">Toplam kayıtlı talep</t>
        </is>
      </c>
      <c r="B3" s="28">
        <f>COUNTA('Garanti Metrikleri'!A4:A15)</f>
      </c>
    </row>
    <row r="4" ht="19" customHeight="1">
      <c r="A4" s="22" t="inlineStr">
        <is>
          <t xml:space="preserve">Kapanış tarihi kayıtlı talep</t>
        </is>
      </c>
      <c r="B4" s="28">
        <f>COUNT('Garanti Metrikleri'!E4:E15)</f>
      </c>
    </row>
    <row r="5" ht="19" customHeight="1">
      <c r="A5" s="23" t="inlineStr">
        <is>
          <t xml:space="preserve">Ortalama kapanış süresi (gün)</t>
        </is>
      </c>
      <c r="B5" s="27">
        <f>IFERROR(AVERAGE('Garanti Metrikleri'!F4:F15),"")</f>
      </c>
    </row>
    <row r="6" ht="24" customHeight="1"/>
    <row r="7" ht="36" customHeight="1">
      <c r="A7" s="30" t="inlineStr">
        <is>
          <t xml:space="preserve">İstasyon</t>
        </is>
      </c>
      <c r="B7" s="30" t="inlineStr">
        <is>
          <t xml:space="preserve">Parça / lot</t>
        </is>
      </c>
      <c r="C7" s="30" t="inlineStr">
        <is>
          <t xml:space="preserve">Hata / olay no</t>
        </is>
      </c>
      <c r="D7" s="30" t="inlineStr">
        <is>
          <t xml:space="preserve">Etkilenen adet</t>
        </is>
      </c>
      <c r="E7" s="30" t="inlineStr">
        <is>
          <t xml:space="preserve">Koruma / aksiyon</t>
        </is>
      </c>
      <c r="F7" s="30" t="inlineStr">
        <is>
          <t xml:space="preserve">Sorumlu / termin</t>
        </is>
      </c>
      <c r="G7" s="30" t="inlineStr">
        <is>
          <t xml:space="preserve">Durum / kanıt</t>
        </is>
      </c>
    </row>
    <row r="8" ht="24" customHeight="1">
      <c r="A8" s="30"/>
      <c r="B8" s="30"/>
      <c r="C8" s="30"/>
      <c r="D8" s="30"/>
      <c r="E8" s="30"/>
      <c r="F8" s="30"/>
      <c r="G8" s="30"/>
    </row>
    <row r="9" ht="24" customHeight="1">
      <c r="A9" s="30"/>
      <c r="B9" s="30"/>
      <c r="C9" s="30"/>
      <c r="D9" s="30"/>
      <c r="E9" s="30"/>
      <c r="F9" s="30"/>
      <c r="G9" s="30"/>
    </row>
    <row r="10" ht="24" customHeight="1">
      <c r="A10" s="30"/>
      <c r="B10" s="30"/>
      <c r="C10" s="30"/>
      <c r="D10" s="30"/>
      <c r="E10" s="30"/>
      <c r="F10" s="30"/>
      <c r="G10" s="30"/>
    </row>
    <row r="11" ht="24" customHeight="1">
      <c r="A11" s="30"/>
      <c r="B11" s="30"/>
      <c r="C11" s="30"/>
      <c r="D11" s="30"/>
      <c r="E11" s="30"/>
      <c r="F11" s="30"/>
      <c r="G11" s="30"/>
    </row>
    <row r="12" ht="24" customHeight="1">
      <c r="A12" s="30"/>
      <c r="B12" s="30"/>
      <c r="C12" s="30"/>
      <c r="D12" s="30"/>
      <c r="E12" s="30"/>
      <c r="F12" s="30"/>
      <c r="G12" s="30"/>
    </row>
    <row r="13" ht="24" customHeight="1">
      <c r="A13" s="30"/>
      <c r="B13" s="30"/>
      <c r="C13" s="30"/>
      <c r="D13" s="30"/>
      <c r="E13" s="30"/>
      <c r="F13" s="30"/>
      <c r="G13" s="30"/>
    </row>
    <row r="14" ht="24" customHeight="1">
      <c r="A14" s="30"/>
      <c r="B14" s="30"/>
      <c r="C14" s="30"/>
      <c r="D14" s="30"/>
      <c r="E14" s="30"/>
      <c r="F14" s="30"/>
      <c r="G14" s="30"/>
    </row>
    <row r="15" ht="117" customHeight="1">
      <c r="A15" s="23" t="inlineStr">
        <is>
          <t xml:space="preserve">Veri olmayan döneme sıfır hata yazılmaz. Açık/kritik olaylar hızlı müdahale ve müşteri koruma kaydına bağlanır. Garanti oranı yalnız aynı kapsam ve maruziyeti gösteren payda verisi varsa hesaplanır.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&amp;L&amp;"Arial,Bold"&amp;11EKG-KLT-PNO-02&amp;C&amp;"Arial,Regular"&amp;11Garanti Göstergeleri ve İş İstasyonu Uyarı Panosu</oddHeader>
    <oddFooter>&amp;L&amp;"Arial,Regular"&amp;11İlk Yayın: 10.06.2026 | Revizyon: 21.09.2026
Revizyon nedeni: Tekil talep, kapanış süresi ve olay/istasyon aksiyonlarıyla hesaplanabilir garanti panosu kuruldu.&amp;R&amp;11Sayfa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1.600" customWidth="1"/>
    <col min="3" max="3" width="18.800" customWidth="1"/>
    <col min="4" max="4" width="14.000" customWidth="1"/>
    <col min="5" max="5" width="13.200" customWidth="1"/>
    <col min="6" max="6" width="18.000" customWidth="1"/>
    <col min="7" max="7" width="18.800" customWidth="1"/>
    <col min="8" max="8" width="12.400" customWidth="1"/>
  </cols>
  <sheetData>
    <row r="1" ht="19" customHeight="1">
      <c r="A1" s="21" t="inlineStr">
        <is>
          <t xml:space="preserve">GARANTİ METRİKLERİ — TEKİL TALEP KAYDI</t>
        </is>
      </c>
    </row>
    <row r="2" ht="24" customHeight="1"/>
    <row r="3" ht="36" customHeight="1">
      <c r="A3" s="29" t="inlineStr">
        <is>
          <t xml:space="preserve">Talep no</t>
        </is>
      </c>
      <c r="B3" s="29" t="inlineStr">
        <is>
          <t xml:space="preserve">Kayıt tarihi</t>
        </is>
      </c>
      <c r="C3" s="29" t="inlineStr">
        <is>
          <t xml:space="preserve">Müşteri / parça / lot</t>
        </is>
      </c>
      <c r="D3" s="29" t="inlineStr">
        <is>
          <t xml:space="preserve">Hata / istasyon</t>
        </is>
      </c>
      <c r="E3" s="29" t="inlineStr">
        <is>
          <t xml:space="preserve">Kapanış tarihi</t>
        </is>
      </c>
      <c r="F3" s="29" t="inlineStr">
        <is>
          <t xml:space="preserve">Kapanış süresi (gün)</t>
        </is>
      </c>
      <c r="G3" s="29" t="inlineStr">
        <is>
          <t xml:space="preserve">Maliyet / para birimi</t>
        </is>
      </c>
      <c r="H3" s="29" t="inlineStr">
        <is>
          <t xml:space="preserve">8D no / durum</t>
        </is>
      </c>
    </row>
    <row r="4" ht="18" customHeight="1">
      <c r="A4" s="22"/>
      <c r="B4" s="24"/>
      <c r="C4" s="22"/>
      <c r="D4" s="22"/>
      <c r="E4" s="24"/>
      <c r="F4" s="26">
        <f>IF(OR(A4="",COUNT(B4,E4)&lt;2,E4&lt;B4),"",E4-B4)</f>
      </c>
      <c r="G4" s="22"/>
      <c r="H4" s="22"/>
    </row>
    <row r="5" ht="18" customHeight="1">
      <c r="A5" s="23"/>
      <c r="B5" s="25"/>
      <c r="C5" s="23"/>
      <c r="D5" s="23"/>
      <c r="E5" s="25"/>
      <c r="F5" s="27">
        <f>IF(OR(A5="",COUNT(B5,E5)&lt;2,E5&lt;B5),"",E5-B5)</f>
      </c>
      <c r="G5" s="23"/>
      <c r="H5" s="23"/>
    </row>
    <row r="6" ht="18" customHeight="1">
      <c r="A6" s="23"/>
      <c r="B6" s="25"/>
      <c r="C6" s="23"/>
      <c r="D6" s="23"/>
      <c r="E6" s="25"/>
      <c r="F6" s="27">
        <f>IF(OR(A6="",COUNT(B6,E6)&lt;2,E6&lt;B6),"",E6-B6)</f>
      </c>
      <c r="G6" s="23"/>
      <c r="H6" s="23"/>
    </row>
    <row r="7" ht="18" customHeight="1">
      <c r="A7" s="23"/>
      <c r="B7" s="25"/>
      <c r="C7" s="23"/>
      <c r="D7" s="23"/>
      <c r="E7" s="25"/>
      <c r="F7" s="27">
        <f>IF(OR(A7="",COUNT(B7,E7)&lt;2,E7&lt;B7),"",E7-B7)</f>
      </c>
      <c r="G7" s="23"/>
      <c r="H7" s="23"/>
    </row>
    <row r="8" ht="18" customHeight="1">
      <c r="A8" s="23"/>
      <c r="B8" s="25"/>
      <c r="C8" s="23"/>
      <c r="D8" s="23"/>
      <c r="E8" s="25"/>
      <c r="F8" s="27">
        <f>IF(OR(A8="",COUNT(B8,E8)&lt;2,E8&lt;B8),"",E8-B8)</f>
      </c>
      <c r="G8" s="23"/>
      <c r="H8" s="23"/>
    </row>
    <row r="9" ht="18" customHeight="1">
      <c r="A9" s="23"/>
      <c r="B9" s="25"/>
      <c r="C9" s="23"/>
      <c r="D9" s="23"/>
      <c r="E9" s="25"/>
      <c r="F9" s="27">
        <f>IF(OR(A9="",COUNT(B9,E9)&lt;2,E9&lt;B9),"",E9-B9)</f>
      </c>
      <c r="G9" s="23"/>
      <c r="H9" s="23"/>
    </row>
    <row r="10" ht="18" customHeight="1">
      <c r="A10" s="23"/>
      <c r="B10" s="25"/>
      <c r="C10" s="23"/>
      <c r="D10" s="23"/>
      <c r="E10" s="25"/>
      <c r="F10" s="27">
        <f>IF(OR(A10="",COUNT(B10,E10)&lt;2,E10&lt;B10),"",E10-B10)</f>
      </c>
      <c r="G10" s="23"/>
      <c r="H10" s="23"/>
    </row>
    <row r="11" ht="18" customHeight="1">
      <c r="A11" s="23"/>
      <c r="B11" s="25"/>
      <c r="C11" s="23"/>
      <c r="D11" s="23"/>
      <c r="E11" s="25"/>
      <c r="F11" s="27">
        <f>IF(OR(A11="",COUNT(B11,E11)&lt;2,E11&lt;B11),"",E11-B11)</f>
      </c>
      <c r="G11" s="23"/>
      <c r="H11" s="23"/>
    </row>
    <row r="12" ht="18" customHeight="1">
      <c r="A12" s="23"/>
      <c r="B12" s="25"/>
      <c r="C12" s="23"/>
      <c r="D12" s="23"/>
      <c r="E12" s="25"/>
      <c r="F12" s="27">
        <f>IF(OR(A12="",COUNT(B12,E12)&lt;2,E12&lt;B12),"",E12-B12)</f>
      </c>
      <c r="G12" s="23"/>
      <c r="H12" s="23"/>
    </row>
    <row r="13" ht="18" customHeight="1">
      <c r="A13" s="23"/>
      <c r="B13" s="25"/>
      <c r="C13" s="23"/>
      <c r="D13" s="23"/>
      <c r="E13" s="25"/>
      <c r="F13" s="27">
        <f>IF(OR(A13="",COUNT(B13,E13)&lt;2,E13&lt;B13),"",E13-B13)</f>
      </c>
      <c r="G13" s="23"/>
      <c r="H13" s="23"/>
    </row>
    <row r="14" ht="18" customHeight="1">
      <c r="A14" s="23"/>
      <c r="B14" s="25"/>
      <c r="C14" s="23"/>
      <c r="D14" s="23"/>
      <c r="E14" s="25"/>
      <c r="F14" s="27">
        <f>IF(OR(A14="",COUNT(B14,E14)&lt;2,E14&lt;B14),"",E14-B14)</f>
      </c>
      <c r="G14" s="23"/>
      <c r="H14" s="23"/>
    </row>
    <row r="15" ht="18" customHeight="1">
      <c r="A15" s="23"/>
      <c r="B15" s="25"/>
      <c r="C15" s="23"/>
      <c r="D15" s="23"/>
      <c r="E15" s="25"/>
      <c r="F15" s="27">
        <f>IF(OR(A15="",COUNT(B15,E15)&lt;2,E15&lt;B15),"",E15-B15)</f>
      </c>
      <c r="G15" s="23"/>
      <c r="H15" s="23"/>
    </row>
    <row r="16" ht="89" customHeight="1">
      <c r="A16" s="23" t="inlineStr">
        <is>
          <t xml:space="preserve">Mükerrer talep ikinci kez sayılmaz. Kapanış tarihi teknik ve gereken müşteri kararı sonrası girilir; farklı para birimleri toplanmaz.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&amp;L&amp;"Arial,Bold"&amp;11EKG-KLT-PNO-02&amp;C&amp;"Arial,Regular"&amp;11Garanti Göstergeleri ve İş İstasyonu Uyarı Panosu</oddHeader>
    <oddFooter>&amp;L&amp;"Arial,Regular"&amp;11İlk Yayın: 10.06.2026 | Revizyon: 21.09.2026
Revizyon nedeni: Tekil talep, kapanış süresi ve olay/istasyon aksiyonlarıyla hesaplanabilir garanti panosu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2026-10-19T09:00:00Z</dcterms:modified>
  <cp:lastModifiedBy>soner</cp:lastModifiedBy>
  <cp:revision>0</cp:revision>
</cp:coreProperties>
</file>