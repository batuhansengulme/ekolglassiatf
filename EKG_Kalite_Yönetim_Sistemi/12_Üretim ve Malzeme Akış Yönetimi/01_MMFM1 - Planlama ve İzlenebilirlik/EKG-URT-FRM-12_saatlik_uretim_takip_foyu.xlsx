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tlik Üretim Takip Föyü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E8EEF5"/>
        <bgColor rgb="00E8EEF5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BFBFBF"/>
      </right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 style="thin">
        <color rgb="00BFBFBF"/>
      </right>
      <top style="thin">
        <color rgb="00000000"/>
      </top>
      <bottom style="double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2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left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left" vertical="center" wrapText="1" shrinkToFit="0"/>
    </xf>
    <xf numFmtId="0" fontId="3" fillId="0" borderId="2" applyAlignment="1" pivotButton="0" quotePrefix="0" xfId="0">
      <alignment horizontal="center" vertical="center" wrapText="1" shrinkToFit="0"/>
    </xf>
    <xf numFmtId="0" fontId="0" fillId="0" borderId="2" pivotButton="0" quotePrefix="0" xfId="0" applyAlignment="1">
      <alignment wrapText="1" shrinkToFit="0" vertical="top"/>
    </xf>
    <xf numFmtId="0" fontId="3" fillId="4" borderId="2" applyAlignment="1" pivotButton="0" quotePrefix="0" xfId="0">
      <alignment horizontal="center" vertical="center" wrapText="1" shrinkToFit="0"/>
    </xf>
    <xf numFmtId="0" fontId="6" fillId="0" borderId="2" applyAlignment="1" pivotButton="0" quotePrefix="0" xfId="0">
      <alignment horizontal="left" vertical="center" wrapText="1" shrinkToFit="0"/>
    </xf>
    <xf numFmtId="0" fontId="6" fillId="0" borderId="0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0" fillId="0" borderId="6" pivotButton="0" quotePrefix="0" xfId="0" applyAlignment="1">
      <alignment wrapText="1" shrinkToFit="0" vertical="top"/>
    </xf>
    <xf numFmtId="0" fontId="7" fillId="7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I19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9" customWidth="1" min="4" max="4"/>
    <col width="41" customWidth="1" min="5" max="5"/>
    <col width="31" customWidth="1" min="6" max="6"/>
    <col width="38" customWidth="1" min="7" max="7"/>
    <col width="42" customWidth="1" min="8" max="8"/>
    <col width="25" customWidth="1" min="9" max="9"/>
    <col min="10" max="10" width="8.170" customWidth="1"/>
    <col min="11" max="11" width="8.170" customWidth="1"/>
  </cols>
  <sheetData>
    <row r="1" ht="38" customHeight="1">
      <c r="A1" s="1" t="inlineStr">
        <is>
          <t>SAATLİK ÜRETİM TAKİP FÖYÜ</t>
        </is>
      </c>
    </row>
    <row r="2" ht="19" customHeight="1">
      <c r="A2" s="2" t="inlineStr">
        <is>
          <t xml:space="preserve">Plan, uygun üretim ve sapma takibi. Üretim artışı kalite kontrollerini veya yetkili kapasite sınırlarını kaldırmaz.</t>
        </is>
      </c>
    </row>
    <row r="4" ht="19" customHeight="1">
      <c r="A4" s="3" t="inlineStr">
        <is>
          <t>Tarih:</t>
        </is>
      </c>
      <c r="B4" s="4" t="n"/>
      <c r="D4" s="3" t="n"/>
      <c r="E4" s="4" t="inlineStr">
        <is>
          <t xml:space="preserve">Hat / iş emri:</t>
        </is>
      </c>
    </row>
    <row r="5" ht="19" customHeight="1">
      <c r="A5" s="3" t="inlineStr">
        <is>
          <t>Vardiya:</t>
        </is>
      </c>
      <c r="B5" s="4" t="n"/>
      <c r="D5" s="3" t="n"/>
      <c r="E5" s="4" t="inlineStr">
        <is>
          <t xml:space="preserve">Parça / lot:</t>
        </is>
      </c>
    </row>
    <row r="6" ht="33" customHeight="1">
      <c r="A6" s="3" t="inlineStr">
        <is>
          <t>Operatör:</t>
        </is>
      </c>
      <c r="B6" s="4" t="n"/>
      <c r="D6" s="3" t="n"/>
      <c r="E6" s="4" t="inlineStr">
        <is>
          <t xml:space="preserve">Vardiya sorumlusu:</t>
        </is>
      </c>
    </row>
    <row r="8" ht="64" customHeight="1">
      <c r="A8" s="5" t="inlineStr">
        <is>
          <t>Saat Aralığı</t>
        </is>
      </c>
      <c r="B8" s="5" t="inlineStr">
        <is>
          <t>Planlanan
(Adet)</t>
        </is>
      </c>
      <c r="C8" s="5" t="inlineStr">
        <is>
          <t xml:space="preserve">Gerçekleşen uygun adet</t>
        </is>
      </c>
      <c r="D8" s="5" t="inlineStr">
        <is>
          <t>Saatlik Sapma
(Adet)</t>
        </is>
      </c>
      <c r="E8" s="5" t="inlineStr">
        <is>
          <t>Kümülatif
Sapma</t>
        </is>
      </c>
      <c r="F8" s="5" t="inlineStr">
        <is>
          <t>Durum</t>
        </is>
      </c>
      <c r="G8" s="5" t="inlineStr">
        <is>
          <t>Sapma / Duruş Kök Nedeni</t>
        </is>
      </c>
      <c r="H8" s="5" t="inlineStr">
        <is>
          <t>Alınan Anlık / Kalıcı Önlem</t>
        </is>
      </c>
      <c r="I8" s="5" t="inlineStr">
        <is>
          <t xml:space="preserve">Aksiyon sorumlusu / kontrol</t>
        </is>
      </c>
    </row>
    <row r="9" ht="18" customHeight="1">
      <c r="A9" s="6" t="n"/>
      <c r="B9" s="6" t="n"/>
      <c r="C9" s="6" t="n"/>
      <c r="D9" s="7">
        <f>IF(OR(B9="",C9=""),"",C9-B9)</f>
        <v/>
      </c>
      <c r="E9" s="6">
        <f>IF(D9="","",SUM($D$9:D9))</f>
      </c>
      <c r="F9" s="7">
        <f>IF(D9="","",IF(D9&lt;0,"SAPMA",IF(D9=0,"HEDEFTE","HEDEF ÜSTÜ")))</f>
        <v/>
      </c>
      <c r="G9" s="8" t="n"/>
      <c r="H9" s="8" t="n"/>
      <c r="I9" s="6" t="n"/>
    </row>
    <row r="10" ht="18" customHeight="1">
      <c r="A10" s="9" t="n"/>
      <c r="B10" s="9" t="n"/>
      <c r="C10" s="9" t="n"/>
      <c r="D10" s="7">
        <f>IF(OR(B10="",C10=""),"",C10-B10)</f>
        <v/>
      </c>
      <c r="E10" s="9">
        <f>IF(D10="","",SUM($D$9:D10))</f>
      </c>
      <c r="F10" s="7">
        <f>IF(D10="","",IF(D10&lt;0,"SAPMA",IF(D10=0,"HEDEFTE","HEDEF ÜSTÜ")))</f>
        <v/>
      </c>
      <c r="G10" s="10" t="n"/>
      <c r="H10" s="10" t="n"/>
      <c r="I10" s="9" t="n"/>
    </row>
    <row r="11" ht="18" customHeight="1">
      <c r="A11" s="6" t="n"/>
      <c r="B11" s="6" t="n"/>
      <c r="C11" s="6" t="n"/>
      <c r="D11" s="11">
        <f>IF(OR(B11="",C11=""),"",C11-B11)</f>
        <v/>
      </c>
      <c r="E11" s="6">
        <f>IF(D11="","",SUM($D$9:D11))</f>
      </c>
      <c r="F11" s="11">
        <f>IF(D11="","",IF(D11&lt;0,"SAPMA",IF(D11=0,"HEDEFTE","HEDEF ÜSTÜ")))</f>
        <v/>
      </c>
      <c r="G11" s="12" t="n"/>
      <c r="H11" s="8" t="n"/>
      <c r="I11" s="6" t="n"/>
    </row>
    <row r="12" ht="18" customHeight="1">
      <c r="A12" s="9" t="n"/>
      <c r="B12" s="9" t="n"/>
      <c r="C12" s="9" t="n"/>
      <c r="D12" s="11">
        <f>IF(OR(B12="",C12=""),"",C12-B12)</f>
        <v/>
      </c>
      <c r="E12" s="9">
        <f>IF(D12="","",SUM($D$9:D12))</f>
      </c>
      <c r="F12" s="11">
        <f>IF(D12="","",IF(D12&lt;0,"SAPMA",IF(D12=0,"HEDEFTE","HEDEF ÜSTÜ")))</f>
        <v/>
      </c>
      <c r="G12" s="12" t="n"/>
      <c r="H12" s="10" t="n"/>
      <c r="I12" s="9" t="n"/>
    </row>
    <row r="13" ht="18" customHeight="1">
      <c r="A13" s="6" t="n"/>
      <c r="B13" s="6" t="n"/>
      <c r="C13" s="6" t="n"/>
      <c r="D13" s="11">
        <f>IF(OR(B13="",C13=""),"",C13-B13)</f>
        <v/>
      </c>
      <c r="E13" s="6">
        <f>IF(D13="","",SUM($D$9:D13))</f>
      </c>
      <c r="F13" s="11">
        <f>IF(D13="","",IF(D13&lt;0,"SAPMA",IF(D13=0,"HEDEFTE","HEDEF ÜSTÜ")))</f>
        <v/>
      </c>
      <c r="G13" s="12" t="n"/>
      <c r="H13" s="8" t="n"/>
      <c r="I13" s="6" t="n"/>
    </row>
    <row r="14" ht="18" customHeight="1">
      <c r="A14" s="9" t="n"/>
      <c r="B14" s="9" t="n"/>
      <c r="C14" s="9" t="n"/>
      <c r="D14" s="7">
        <f>IF(OR(B14="",C14=""),"",C14-B14)</f>
        <v/>
      </c>
      <c r="E14" s="9">
        <f>IF(D14="","",SUM($D$9:D14))</f>
      </c>
      <c r="F14" s="7">
        <f>IF(D14="","",IF(D14&lt;0,"SAPMA",IF(D14=0,"HEDEFTE","HEDEF ÜSTÜ")))</f>
        <v/>
      </c>
      <c r="G14" s="10" t="n"/>
      <c r="H14" s="10" t="n"/>
      <c r="I14" s="9" t="n"/>
    </row>
    <row r="15" ht="18" customHeight="1">
      <c r="A15" s="6" t="n"/>
      <c r="B15" s="6" t="n"/>
      <c r="C15" s="6" t="n"/>
      <c r="D15" s="7">
        <f>IF(OR(B15="",C15=""),"",C15-B15)</f>
        <v/>
      </c>
      <c r="E15" s="6">
        <f>IF(D15="","",SUM($D$9:D15))</f>
      </c>
      <c r="F15" s="7">
        <f>IF(D15="","",IF(D15&lt;0,"SAPMA",IF(D15=0,"HEDEFTE","HEDEF ÜSTÜ")))</f>
        <v/>
      </c>
      <c r="G15" s="8" t="n"/>
      <c r="H15" s="8" t="n"/>
      <c r="I15" s="6" t="n"/>
    </row>
    <row r="16" ht="18" customHeight="1">
      <c r="A16" s="9" t="n"/>
      <c r="B16" s="9" t="n"/>
      <c r="C16" s="9" t="n"/>
      <c r="D16" s="7">
        <f>IF(OR(B16="",C16=""),"",C16-B16)</f>
        <v/>
      </c>
      <c r="E16" s="9">
        <f>IF(D16="","",SUM($D$9:D16))</f>
      </c>
      <c r="F16" s="7">
        <f>IF(D16="","",IF(D16&lt;0,"SAPMA",IF(D16=0,"HEDEFTE","HEDEF ÜSTÜ")))</f>
        <v/>
      </c>
      <c r="G16" s="10" t="n"/>
      <c r="H16" s="10" t="n"/>
      <c r="I16" s="9" t="n"/>
    </row>
    <row r="17" ht="61" customHeight="1">
      <c r="A17" s="13" t="inlineStr">
        <is>
          <t xml:space="preserve">TOPLAM / PLAN GERÇEKLEŞTİRME</t>
        </is>
      </c>
      <c r="B17" s="13">
        <f>IF(COUNT(B9:B16)=0,"",SUM(B9:B16))</f>
        <v/>
      </c>
      <c r="C17" s="13">
        <f>IF(COUNT(C9:C16)=0,"",SUM(C9:C16))</f>
        <v/>
      </c>
      <c r="D17" s="13">
        <f>IF(OR(B17="",C17=""),"",C17-B17)</f>
        <v/>
      </c>
      <c r="E17" s="14" t="n"/>
      <c r="F17" s="15">
        <f>IF(OR(B17="",B17=0,C17=""),"",IF(COUNT(B9:B16)&lt;&gt;COUNT(C9:C16),"EKSİK VERİ",ROUND(C17/B17*100,1)&amp;"%"))</f>
      </c>
      <c r="G17" s="16" t="inlineStr">
        <is>
          <t xml:space="preserve">Plan gerçekleştirme hedefi: onaylı KPI tanımına göre</t>
        </is>
      </c>
      <c r="H17" s="18" t="n"/>
      <c r="I17" s="19" t="n"/>
    </row>
    <row r="19" ht="33" customHeight="1">
      <c r="A19" s="17" t="inlineStr">
        <is>
          <t xml:space="preserve">Sapma nedenini ve sorumlu aksiyonunu kaydet. Arıza, malzeme veya kalite etkisini ilgili yetkiliye bildir. Yetkisiz bypass uygulanmaz; gerekli değişiklik ve yeniden başlatma kontrolleri ilgili prosedüre göre tamamlanır.</t>
        </is>
      </c>
    </row>
  </sheetData>
  <mergeCells count="7">
    <mergeCell ref="A2:I2"/>
    <mergeCell ref="A19:I19"/>
    <mergeCell ref="E5:G5"/>
    <mergeCell ref="A1:I1"/>
    <mergeCell ref="E4:G4"/>
    <mergeCell ref="G17:I17"/>
    <mergeCell ref="E6:G6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&amp;L&amp;"Arial,Bold"&amp;11EKG-URT-FRM-12&amp;C&amp;"Arial,Regular"&amp;11Saatlik Üretim Takip Föyü</oddHeader>
    <oddFooter>&amp;L&amp;"Arial,Regular"&amp;11İlk Yayın: 11.06.2026 | Revizyon: 24.09.2026
Revizyon nedeni: Saatlik/kümülatif hesap ve toplam veri kontrolü düzeltildi; uygun adet, aksiyon ve vardiya sorumluluğu netleştirildi.&amp;R&amp;11Sayfa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