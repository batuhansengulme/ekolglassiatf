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nel_Operasyonlar_ve_Yetki" sheetId="1" state="visible" r:id="rId1"/>
    <sheet xmlns:r="http://schemas.openxmlformats.org/officeDocument/2006/relationships" name="Nitel_MSA_Kappa_Hesaplayic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9C6500"/>
      <sz val="10"/>
    </font>
    <font>
      <name val="Segoe UI"/>
      <b val="1"/>
      <color rgb="009C0006"/>
      <sz val="10"/>
    </font>
    <font>
      <name val="Segoe UI"/>
      <b val="1"/>
      <color rgb="00000000"/>
      <sz val="10"/>
    </font>
    <font>
      <name val="Segoe UI"/>
      <b val="1"/>
      <color rgb="00000000"/>
      <sz val="12"/>
    </font>
    <font>
      <name val="Segoe UI"/>
      <b val="1"/>
      <color rgb="00006100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0" borderId="0" pivotButton="0" quotePrefix="0" xfId="0" applyAlignment="1">
      <alignment wrapText="1" shrinkToFit="0" vertical="top"/>
    </xf>
    <xf numFmtId="0" fontId="3" fillId="2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2" fontId="4" fillId="0" borderId="1" applyAlignment="1" pivotButton="0" quotePrefix="0" xfId="0">
      <alignment horizontal="center" vertical="center" wrapText="1" shrinkToFit="0"/>
    </xf>
    <xf numFmtId="0" fontId="5" fillId="3" borderId="1" applyAlignment="1" pivotButton="0" quotePrefix="0" xfId="0">
      <alignment horizontal="left" vertical="center" wrapText="1" shrinkToFit="0"/>
    </xf>
    <xf numFmtId="0" fontId="6" fillId="4" borderId="1" applyAlignment="1" pivotButton="0" quotePrefix="0" xfId="0">
      <alignment horizontal="left" vertical="center" wrapText="1" shrinkToFit="0"/>
    </xf>
    <xf numFmtId="0" fontId="7" fillId="5" borderId="1" applyAlignment="1" pivotButton="0" quotePrefix="0" xfId="0">
      <alignment horizontal="left" vertical="center" wrapText="1" shrinkToFit="0"/>
    </xf>
    <xf numFmtId="0" fontId="8" fillId="0" borderId="1" applyAlignment="1" pivotButton="0" quotePrefix="0" xfId="0">
      <alignment horizontal="center" vertical="center" wrapText="1" shrinkToFit="0"/>
    </xf>
    <xf numFmtId="1" fontId="4" fillId="0" borderId="1" applyAlignment="1" pivotButton="0" quotePrefix="0" xfId="0">
      <alignment horizontal="center" vertical="center" wrapText="1" shrinkToFit="0"/>
    </xf>
    <xf numFmtId="0" fontId="9" fillId="0" borderId="0" pivotButton="0" quotePrefix="0" xfId="0" applyAlignment="1">
      <alignment wrapText="1" shrinkToFit="0" vertical="top"/>
    </xf>
    <xf numFmtId="0" fontId="4" fillId="0" borderId="0" pivotButton="0" quotePrefix="0" xfId="0" applyAlignment="1">
      <alignment wrapText="1" shrinkToFit="0" vertical="top"/>
    </xf>
    <xf numFmtId="0" fontId="8" fillId="0" borderId="0" pivotButton="0" quotePrefix="0" xfId="0" applyAlignment="1">
      <alignment wrapText="1" shrinkToFit="0" vertical="top"/>
    </xf>
    <xf numFmtId="2" fontId="10" fillId="0" borderId="0" pivotButton="0" quotePrefix="0" xfId="0" applyAlignment="1">
      <alignment wrapText="1" shrinkToFit="0" vertical="top"/>
    </xf>
    <xf numFmtId="0" fontId="11" fillId="6" borderId="0" xfId="0" applyFont="1" applyAlignment="1" applyFill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0" borderId="0" xfId="0" applyFont="1" applyAlignment="1">
      <alignment vertical="top" wrapText="1" shrinkToFit="0"/>
    </xf>
    <xf numFmtId="0" fontId="14" fillId="7" borderId="0" xfId="0" applyFont="1" applyAlignment="1">
      <alignment wrapText="1" vertical="top" shrinkToFit="0"/>
    </xf>
    <xf numFmtId="0" fontId="15" fillId="0" borderId="0" xfId="0" applyFont="1" applyAlignment="1">
      <alignment wrapText="1" vertical="top" shrinkToFit="0"/>
    </xf>
    <xf numFmtId="0" fontId="16" fillId="0" borderId="0" xfId="0" applyFont="1" applyAlignment="1">
      <alignment wrapText="1" vertical="top" shrinkToFit="0"/>
    </xf>
    <xf numFmtId="0" fontId="15" fillId="0" borderId="2" xfId="0" applyFont="1" applyAlignment="1" applyBorder="1">
      <alignment wrapText="1" vertical="top" shrinkToFit="0"/>
    </xf>
    <xf numFmtId="0" fontId="16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6.400" customWidth="1"/>
    <col min="3" max="3" width="22.800" customWidth="1"/>
    <col min="4" max="4" width="16.400" customWidth="1"/>
    <col min="5" max="5" width="17.200" customWidth="1"/>
    <col min="6" max="6" width="24.400" customWidth="1"/>
    <col min="7" max="7" width="20.400" customWidth="1"/>
  </cols>
  <sheetData>
    <row r="1" ht="19" customHeight="1">
      <c r="A1" s="19" t="inlineStr">
        <is>
          <t xml:space="preserve">ÖZNEL KONTROL OPERASYONLARI VE YETKİLİ PERSONEL</t>
        </is>
      </c>
    </row>
    <row r="2" ht="19" customHeight="1">
      <c r="A2" s="20" t="inlineStr">
        <is>
          <t xml:space="preserve">Yetki operasyon bazında, geçerli test/eğitim kanıtı ve yetkili kararıyla verilir. Test puanı tek başına yetki değildir.</t>
        </is>
      </c>
    </row>
    <row r="3" ht="36" customHeight="1">
      <c r="A3" s="22" t="inlineStr">
        <is>
          <t xml:space="preserve">Sicil / ad soyad</t>
        </is>
      </c>
      <c r="B3" s="22" t="inlineStr">
        <is>
          <t xml:space="preserve">Kontrol operasyonu</t>
        </is>
      </c>
      <c r="C3" s="22" t="inlineStr">
        <is>
          <t xml:space="preserve">Numune / katalog revizyonu</t>
        </is>
      </c>
      <c r="D3" s="22" t="inlineStr">
        <is>
          <t xml:space="preserve">Test kaydı / tarih</t>
        </is>
      </c>
      <c r="E3" s="22" t="inlineStr">
        <is>
          <t xml:space="preserve">Ham uyum / doğruluk</t>
        </is>
      </c>
      <c r="F3" s="22" t="inlineStr">
        <is>
          <t xml:space="preserve">Yetki kararı / yetkili-tarih</t>
        </is>
      </c>
      <c r="G3" s="22" t="inlineStr">
        <is>
          <t xml:space="preserve">İnceleme tarihi / kısıt</t>
        </is>
      </c>
    </row>
    <row r="4" ht="24" customHeight="1">
      <c r="A4" s="22"/>
      <c r="B4" s="22"/>
      <c r="C4" s="22"/>
      <c r="D4" s="22"/>
      <c r="E4" s="22"/>
      <c r="F4" s="22"/>
      <c r="G4" s="22"/>
    </row>
    <row r="5" ht="24" customHeight="1">
      <c r="A5" s="23"/>
      <c r="B5" s="23"/>
      <c r="C5" s="23"/>
      <c r="D5" s="23"/>
      <c r="E5" s="23"/>
      <c r="F5" s="23"/>
      <c r="G5" s="23"/>
    </row>
    <row r="6" ht="24" customHeight="1">
      <c r="A6" s="23"/>
      <c r="B6" s="23"/>
      <c r="C6" s="23"/>
      <c r="D6" s="23"/>
      <c r="E6" s="23"/>
      <c r="F6" s="23"/>
      <c r="G6" s="23"/>
    </row>
    <row r="7" ht="24" customHeight="1">
      <c r="A7" s="23"/>
      <c r="B7" s="23"/>
      <c r="C7" s="23"/>
      <c r="D7" s="23"/>
      <c r="E7" s="23"/>
      <c r="F7" s="23"/>
      <c r="G7" s="23"/>
    </row>
    <row r="8" ht="24" customHeight="1">
      <c r="A8" s="23"/>
      <c r="B8" s="23"/>
      <c r="C8" s="23"/>
      <c r="D8" s="23"/>
      <c r="E8" s="23"/>
      <c r="F8" s="23"/>
      <c r="G8" s="23"/>
    </row>
    <row r="9" ht="24" customHeight="1">
      <c r="A9" s="23"/>
      <c r="B9" s="23"/>
      <c r="C9" s="23"/>
      <c r="D9" s="23"/>
      <c r="E9" s="23"/>
      <c r="F9" s="23"/>
      <c r="G9" s="23"/>
    </row>
    <row r="10" ht="24" customHeight="1">
      <c r="A10" s="23"/>
      <c r="B10" s="23"/>
      <c r="C10" s="23"/>
      <c r="D10" s="23"/>
      <c r="E10" s="23"/>
      <c r="F10" s="23"/>
      <c r="G10" s="23"/>
    </row>
    <row r="11" ht="24" customHeight="1">
      <c r="A11" s="23"/>
      <c r="B11" s="23"/>
      <c r="C11" s="23"/>
      <c r="D11" s="23"/>
      <c r="E11" s="23"/>
      <c r="F11" s="23"/>
      <c r="G11" s="23"/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&amp;L&amp;"Arial,Bold"&amp;11EKG-IK-LST-01&amp;C&amp;"Arial,Regular"&amp;11Öznel Kontrol Operasyonları ve Yetkili Personel Listesi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8.000" customWidth="1"/>
    <col min="3" max="3" width="8.400" customWidth="1"/>
    <col min="4" max="4" width="8.400" customWidth="1"/>
    <col min="5" max="5" width="16.400" customWidth="1"/>
    <col min="6" max="6" width="10.000" customWidth="1"/>
    <col min="7" max="7" width="10.000" customWidth="1"/>
  </cols>
  <sheetData>
    <row r="1" ht="19" customHeight="1">
      <c r="A1" s="19" t="inlineStr">
        <is>
          <t xml:space="preserve">NİTEL KARAR UYUMU — HAM UYUM / DOĞRULUK</t>
        </is>
      </c>
    </row>
    <row r="2" ht="33" customHeight="1">
      <c r="A2" s="20" t="inlineStr">
        <is>
          <t xml:space="preserve">Operatör / operasyon / test tarihi: ______. Referans durumlar doğrulanır; numuneler karışık sırada, referans gösterilmeden iki kez değerlendirilir. Bu hesap Kappa değildir.</t>
        </is>
      </c>
    </row>
    <row r="3" ht="36" customHeight="1">
      <c r="A3" s="22" t="inlineStr">
        <is>
          <t xml:space="preserve">Numune no</t>
        </is>
      </c>
      <c r="B3" s="22" t="inlineStr">
        <is>
          <t xml:space="preserve">Referans (Kabul/Ret)</t>
        </is>
      </c>
      <c r="C3" s="22" t="inlineStr">
        <is>
          <t xml:space="preserve">Deneme 1</t>
        </is>
      </c>
      <c r="D3" s="22" t="inlineStr">
        <is>
          <t xml:space="preserve">Deneme 2</t>
        </is>
      </c>
      <c r="E3" s="22" t="inlineStr">
        <is>
          <t xml:space="preserve">Tekrarlanabilirlik</t>
        </is>
      </c>
      <c r="F3" s="22" t="inlineStr">
        <is>
          <t xml:space="preserve">Doğruluk 1</t>
        </is>
      </c>
      <c r="G3" s="22" t="inlineStr">
        <is>
          <t xml:space="preserve">Doğruluk 2</t>
        </is>
      </c>
    </row>
    <row r="4" ht="18" customHeight="1">
      <c r="A4" s="22"/>
      <c r="B4" s="22"/>
      <c r="C4" s="22"/>
      <c r="D4" s="22"/>
      <c r="E4" s="22">
        <f>IF(OR(B4="",C4="",D4=""),"",IF(C4=D4,1,0))</f>
      </c>
      <c r="F4" s="22">
        <f>IF(OR(B4="",C4="",D4=""),"",IF(B4=C4,1,0))</f>
      </c>
      <c r="G4" s="22">
        <f>IF(OR(B4="",C4="",D4=""),"",IF(B4=D4,1,0))</f>
      </c>
    </row>
    <row r="5" ht="18" customHeight="1">
      <c r="A5" s="23"/>
      <c r="B5" s="23"/>
      <c r="C5" s="23"/>
      <c r="D5" s="23"/>
      <c r="E5" s="23">
        <f>IF(OR(B5="",C5="",D5=""),"",IF(C5=D5,1,0))</f>
      </c>
      <c r="F5" s="23">
        <f>IF(OR(B5="",C5="",D5=""),"",IF(B5=C5,1,0))</f>
      </c>
      <c r="G5" s="23">
        <f>IF(OR(B5="",C5="",D5=""),"",IF(B5=D5,1,0))</f>
      </c>
    </row>
    <row r="6" ht="18" customHeight="1">
      <c r="A6" s="23"/>
      <c r="B6" s="23"/>
      <c r="C6" s="23"/>
      <c r="D6" s="23"/>
      <c r="E6" s="23">
        <f>IF(OR(B6="",C6="",D6=""),"",IF(C6=D6,1,0))</f>
      </c>
      <c r="F6" s="23">
        <f>IF(OR(B6="",C6="",D6=""),"",IF(B6=C6,1,0))</f>
      </c>
      <c r="G6" s="23">
        <f>IF(OR(B6="",C6="",D6=""),"",IF(B6=D6,1,0))</f>
      </c>
    </row>
    <row r="7" ht="18" customHeight="1">
      <c r="A7" s="23"/>
      <c r="B7" s="23"/>
      <c r="C7" s="23"/>
      <c r="D7" s="23"/>
      <c r="E7" s="23">
        <f>IF(OR(B7="",C7="",D7=""),"",IF(C7=D7,1,0))</f>
      </c>
      <c r="F7" s="23">
        <f>IF(OR(B7="",C7="",D7=""),"",IF(B7=C7,1,0))</f>
      </c>
      <c r="G7" s="23">
        <f>IF(OR(B7="",C7="",D7=""),"",IF(B7=D7,1,0))</f>
      </c>
    </row>
    <row r="8" ht="18" customHeight="1">
      <c r="A8" s="23"/>
      <c r="B8" s="23"/>
      <c r="C8" s="23"/>
      <c r="D8" s="23"/>
      <c r="E8" s="23">
        <f>IF(OR(B8="",C8="",D8=""),"",IF(C8=D8,1,0))</f>
      </c>
      <c r="F8" s="23">
        <f>IF(OR(B8="",C8="",D8=""),"",IF(B8=C8,1,0))</f>
      </c>
      <c r="G8" s="23">
        <f>IF(OR(B8="",C8="",D8=""),"",IF(B8=D8,1,0))</f>
      </c>
    </row>
    <row r="9" ht="18" customHeight="1">
      <c r="A9" s="23"/>
      <c r="B9" s="23"/>
      <c r="C9" s="23"/>
      <c r="D9" s="23"/>
      <c r="E9" s="23">
        <f>IF(OR(B9="",C9="",D9=""),"",IF(C9=D9,1,0))</f>
      </c>
      <c r="F9" s="23">
        <f>IF(OR(B9="",C9="",D9=""),"",IF(B9=C9,1,0))</f>
      </c>
      <c r="G9" s="23">
        <f>IF(OR(B9="",C9="",D9=""),"",IF(B9=D9,1,0))</f>
      </c>
    </row>
    <row r="10" ht="18" customHeight="1">
      <c r="A10" s="23"/>
      <c r="B10" s="23"/>
      <c r="C10" s="23"/>
      <c r="D10" s="23"/>
      <c r="E10" s="23">
        <f>IF(OR(B10="",C10="",D10=""),"",IF(C10=D10,1,0))</f>
      </c>
      <c r="F10" s="23">
        <f>IF(OR(B10="",C10="",D10=""),"",IF(B10=C10,1,0))</f>
      </c>
      <c r="G10" s="23">
        <f>IF(OR(B10="",C10="",D10=""),"",IF(B10=D10,1,0))</f>
      </c>
    </row>
    <row r="11" ht="18" customHeight="1">
      <c r="A11" s="23"/>
      <c r="B11" s="23"/>
      <c r="C11" s="23"/>
      <c r="D11" s="23"/>
      <c r="E11" s="23">
        <f>IF(OR(B11="",C11="",D11=""),"",IF(C11=D11,1,0))</f>
      </c>
      <c r="F11" s="23">
        <f>IF(OR(B11="",C11="",D11=""),"",IF(B11=C11,1,0))</f>
      </c>
      <c r="G11" s="23">
        <f>IF(OR(B11="",C11="",D11=""),"",IF(B11=D11,1,0))</f>
      </c>
    </row>
    <row r="12" ht="18" customHeight="1">
      <c r="A12" s="23"/>
      <c r="B12" s="23"/>
      <c r="C12" s="23"/>
      <c r="D12" s="23"/>
      <c r="E12" s="23">
        <f>IF(OR(B12="",C12="",D12=""),"",IF(C12=D12,1,0))</f>
      </c>
      <c r="F12" s="23">
        <f>IF(OR(B12="",C12="",D12=""),"",IF(B12=C12,1,0))</f>
      </c>
      <c r="G12" s="23">
        <f>IF(OR(B12="",C12="",D12=""),"",IF(B12=D12,1,0))</f>
      </c>
    </row>
    <row r="13" ht="18" customHeight="1">
      <c r="A13" s="23"/>
      <c r="B13" s="23"/>
      <c r="C13" s="23"/>
      <c r="D13" s="23"/>
      <c r="E13" s="23">
        <f>IF(OR(B13="",C13="",D13=""),"",IF(C13=D13,1,0))</f>
      </c>
      <c r="F13" s="23">
        <f>IF(OR(B13="",C13="",D13=""),"",IF(B13=C13,1,0))</f>
      </c>
      <c r="G13" s="23">
        <f>IF(OR(B13="",C13="",D13=""),"",IF(B13=D13,1,0))</f>
      </c>
    </row>
    <row r="14" ht="18" customHeight="1">
      <c r="A14" s="23"/>
      <c r="B14" s="23"/>
      <c r="C14" s="23"/>
      <c r="D14" s="23"/>
      <c r="E14" s="23">
        <f>IF(OR(B14="",C14="",D14=""),"",IF(C14=D14,1,0))</f>
      </c>
      <c r="F14" s="23">
        <f>IF(OR(B14="",C14="",D14=""),"",IF(B14=C14,1,0))</f>
      </c>
      <c r="G14" s="23">
        <f>IF(OR(B14="",C14="",D14=""),"",IF(B14=D14,1,0))</f>
      </c>
    </row>
    <row r="15" ht="18" customHeight="1">
      <c r="A15" s="23"/>
      <c r="B15" s="23"/>
      <c r="C15" s="23"/>
      <c r="D15" s="23"/>
      <c r="E15" s="23">
        <f>IF(OR(B15="",C15="",D15=""),"",IF(C15=D15,1,0))</f>
      </c>
      <c r="F15" s="23">
        <f>IF(OR(B15="",C15="",D15=""),"",IF(B15=C15,1,0))</f>
      </c>
      <c r="G15" s="23">
        <f>IF(OR(B15="",C15="",D15=""),"",IF(B15=D15,1,0))</f>
      </c>
    </row>
    <row r="16" ht="18" customHeight="1">
      <c r="A16" s="23"/>
      <c r="B16" s="23"/>
      <c r="C16" s="23"/>
      <c r="D16" s="23"/>
      <c r="E16" s="23">
        <f>IF(OR(B16="",C16="",D16=""),"",IF(C16=D16,1,0))</f>
      </c>
      <c r="F16" s="23">
        <f>IF(OR(B16="",C16="",D16=""),"",IF(B16=C16,1,0))</f>
      </c>
      <c r="G16" s="23">
        <f>IF(OR(B16="",C16="",D16=""),"",IF(B16=D16,1,0))</f>
      </c>
    </row>
    <row r="17" ht="18" customHeight="1">
      <c r="A17" s="23"/>
      <c r="B17" s="23"/>
      <c r="C17" s="23"/>
      <c r="D17" s="23"/>
      <c r="E17" s="23">
        <f>IF(OR(B17="",C17="",D17=""),"",IF(C17=D17,1,0))</f>
      </c>
      <c r="F17" s="23">
        <f>IF(OR(B17="",C17="",D17=""),"",IF(B17=C17,1,0))</f>
      </c>
      <c r="G17" s="23">
        <f>IF(OR(B17="",C17="",D17=""),"",IF(B17=D17,1,0))</f>
      </c>
    </row>
    <row r="18" ht="18" customHeight="1">
      <c r="A18" s="23"/>
      <c r="B18" s="23"/>
      <c r="C18" s="23"/>
      <c r="D18" s="23"/>
      <c r="E18" s="23">
        <f>IF(OR(B18="",C18="",D18=""),"",IF(C18=D18,1,0))</f>
      </c>
      <c r="F18" s="23">
        <f>IF(OR(B18="",C18="",D18=""),"",IF(B18=C18,1,0))</f>
      </c>
      <c r="G18" s="23">
        <f>IF(OR(B18="",C18="",D18=""),"",IF(B18=D18,1,0))</f>
      </c>
    </row>
    <row r="19" ht="19" customHeight="1">
      <c r="A19" s="23" t="inlineStr">
        <is>
          <t xml:space="preserve">Tam çift adedi</t>
        </is>
      </c>
      <c r="B19" s="23"/>
      <c r="C19" s="23"/>
      <c r="D19" s="23"/>
      <c r="E19" s="23">
        <f>COUNT(E4:E18)</f>
      </c>
    </row>
    <row r="20" ht="19" customHeight="1">
      <c r="A20" s="23" t="inlineStr">
        <is>
          <t xml:space="preserve">Ham tekrarlanabilirlik</t>
        </is>
      </c>
      <c r="B20" s="23"/>
      <c r="C20" s="23"/>
      <c r="D20" s="23"/>
      <c r="E20" s="23">
        <f>IF(COUNT(E4:E18)=0,"",AVERAGE(E4:E18))</f>
      </c>
    </row>
    <row r="21" ht="19" customHeight="1">
      <c r="A21" s="23" t="inlineStr">
        <is>
          <t xml:space="preserve">Referansa doğruluk</t>
        </is>
      </c>
      <c r="B21" s="23"/>
      <c r="C21" s="23"/>
      <c r="D21" s="23"/>
      <c r="E21" s="23">
        <f>IF(COUNT(E4:E18)=0,"",(SUM(F4:F18)+SUM(G4:G18))/(2*COUNT(E4:E18)))</f>
      </c>
    </row>
    <row r="22" ht="33" customHeight="1">
      <c r="A22" s="21" t="inlineStr">
        <is>
          <t xml:space="preserve">Kabul kriteri / kaynak revizyonu: ______</t>
        </is>
      </c>
    </row>
    <row r="23" ht="47" customHeight="1">
      <c r="A23" s="21" t="inlineStr">
        <is>
          <t xml:space="preserve">Kritik yanlış kabul / yanlış ret ve sonuç değerlendirmesi: ______</t>
        </is>
      </c>
    </row>
    <row r="24" ht="47" customHeight="1">
      <c r="A24" s="21" t="inlineStr">
        <is>
          <t xml:space="preserve">Değerlendiren / tarih: ______   Yetki kararı ayrı kaydedilir.</t>
        </is>
      </c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&amp;L&amp;"Arial,Bold"&amp;11EKG-IK-LST-01&amp;C&amp;"Arial,Regular"&amp;11Öznel Kontrol Operasyonları ve Yetkili Personel Listesi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