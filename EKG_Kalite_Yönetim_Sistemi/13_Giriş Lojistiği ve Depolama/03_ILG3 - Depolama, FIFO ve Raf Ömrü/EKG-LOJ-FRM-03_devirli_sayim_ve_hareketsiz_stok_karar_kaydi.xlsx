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rli Sayım &amp; Stok Farkı" sheetId="1" state="visible" r:id="rId1"/>
    <sheet xmlns:r="http://schemas.openxmlformats.org/officeDocument/2006/relationships" name="Hareketsiz &amp; Kullanım Dışı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b val="1"/>
      <color rgb="00FFFFFF"/>
      <sz val="11"/>
    </font>
    <font>
      <name val="Calibri"/>
      <sz val="11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FF18364A"/>
        <bgColor indexed="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 applyAlignment="1">
      <alignment wrapText="1" shrinkToFit="0" vertical="top"/>
    </xf>
    <xf numFmtId="0" fontId="1" fillId="0" borderId="0" pivotButton="0" quotePrefix="0" xfId="0" applyAlignment="1">
      <alignment wrapText="1" shrinkToFit="0" vertical="top"/>
    </xf>
    <xf numFmtId="0" fontId="2" fillId="2" borderId="0" applyAlignment="1" pivotButton="0" quotePrefix="0" xfId="0">
      <alignment horizontal="center" vertical="center" wrapText="1" shrinkToFit="0"/>
    </xf>
    <xf numFmtId="0" fontId="3" fillId="0" borderId="1" pivotButton="0" quotePrefix="0" xfId="0" applyAlignment="1">
      <alignment wrapText="1" shrinkToFit="0" vertical="top"/>
    </xf>
    <xf numFmtId="164" fontId="3" fillId="0" borderId="1" pivotButton="0" quotePrefix="0" xfId="0" applyAlignment="1">
      <alignment wrapText="1" shrinkToFit="0" vertical="top"/>
    </xf>
    <xf numFmtId="0" fontId="3" fillId="3" borderId="1" pivotButton="0" quotePrefix="0" xfId="0" applyAlignment="1">
      <alignment wrapText="1" shrinkToFit="0" vertical="top"/>
    </xf>
    <xf numFmtId="0" fontId="3" fillId="4" borderId="1" pivotButton="0" quotePrefix="0" xfId="0" applyAlignment="1">
      <alignment wrapText="1" shrinkToFit="0" vertical="top"/>
    </xf>
    <xf numFmtId="0" fontId="3" fillId="5" borderId="1" pivotButton="0" quotePrefix="0" xfId="0" applyAlignment="1">
      <alignment wrapText="1" shrinkToFit="0" vertical="top"/>
    </xf>
    <xf numFmtId="4" fontId="3" fillId="0" borderId="1" pivotButton="0" quotePrefix="0" xfId="0" applyAlignment="1">
      <alignment wrapText="1" shrinkToFit="0" vertical="top"/>
    </xf>
    <xf numFmtId="0" fontId="4" fillId="6" borderId="0" xfId="0" applyFont="1" applyAlignment="1" applyFill="1">
      <alignment vertical="top" wrapText="1" shrinkToFit="0"/>
    </xf>
    <xf numFmtId="0" fontId="5" fillId="0" borderId="0" xfId="0" applyFont="1" applyAlignment="1">
      <alignment vertical="top" wrapText="1" shrinkToFit="0"/>
    </xf>
    <xf numFmtId="0" fontId="6" fillId="0" borderId="0" xfId="0" applyFont="1" applyAlignment="1">
      <alignment vertical="top" wrapText="1" shrinkToFit="0"/>
    </xf>
    <xf numFmtId="0" fontId="0" fillId="0" borderId="0" pivotButton="0" quotePrefix="0" xfId="0" applyAlignment="1">
      <alignment wrapText="1" shrinkToFit="0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13</col>
      <colOff>0</colOff>
      <row>0</row>
      <rowOff>0</rowOff>
    </from>
    <ext cx="13335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8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28" customWidth="1" min="2" max="2"/>
    <col width="17" customWidth="1" min="3" max="3"/>
    <col width="13" customWidth="1" min="4" max="4"/>
    <col width="22" customWidth="1" min="5" max="5"/>
    <col width="21" customWidth="1" min="6" max="6"/>
    <col width="20" customWidth="1" min="7" max="7"/>
    <col width="32" customWidth="1" min="8" max="8"/>
    <col width="15" customWidth="1" min="9" max="9"/>
    <col width="12" customWidth="1" min="10" max="10"/>
    <col width="38" customWidth="1" min="11" max="11"/>
    <col width="71" customWidth="1" min="12" max="12"/>
    <col min="14" max="14" width="6.500" customWidth="1"/>
  </cols>
  <sheetData>
    <row r="1">
      <c r="A1" s="1" t="inlineStr">
        <is>
          <t>DEVİRLİ (DÖNGÜSEL) SAYIM VE STOK FARKI MATRİSİ</t>
        </is>
      </c>
    </row>
    <row r="2" ht="65" customHeight="1">
      <c r="A2" t="inlineStr" s="12">
        <is>
          <t xml:space="preserve">Her stok farkı araştırılır; sistem düzeltmesi yetkili onayıyla yapılır. Sayım kapsamındaki lotlar C sütununda belirtilir. Stok doğruluk göstergesi = en az 0 olacak şekilde 1 − mutlak fark / sistem stoku; sistem ve fiili stok sıfırsa %100, yalnız sistem sıfırsa %0.</t>
        </is>
      </c>
    </row>
    <row r="3" ht="64" customHeight="1">
      <c r="A3" s="2" t="inlineStr">
        <is>
          <t>Malzeme Kodu</t>
        </is>
      </c>
      <c r="B3" s="2" t="inlineStr">
        <is>
          <t>Malzeme Açıklaması</t>
        </is>
      </c>
      <c r="C3" s="2" t="inlineStr">
        <is>
          <t xml:space="preserve">Depo lokasyonu / lot</t>
        </is>
      </c>
      <c r="D3" s="2" t="inlineStr">
        <is>
          <t>ABC Sınıfı</t>
        </is>
      </c>
      <c r="E3" s="2" t="inlineStr">
        <is>
          <t>Sistem Stoğu (Adet)</t>
        </is>
      </c>
      <c r="F3" s="2" t="inlineStr">
        <is>
          <t>Fiili Sayım (Adet)</t>
        </is>
      </c>
      <c r="G3" s="2" t="inlineStr">
        <is>
          <t>Stok Farkı (Adet)</t>
        </is>
      </c>
      <c r="H3" s="2" t="inlineStr">
        <is>
          <t>Stok Doğruluk (%)</t>
        </is>
      </c>
      <c r="I3" s="2" t="inlineStr">
        <is>
          <t>Sayım Tarihi</t>
        </is>
      </c>
      <c r="J3" s="2" t="inlineStr">
        <is>
          <t>Sorumlu</t>
        </is>
      </c>
      <c r="K3" s="2" t="inlineStr">
        <is>
          <t>Durum</t>
        </is>
      </c>
      <c r="L3" s="2" t="inlineStr">
        <is>
          <t>Kök Neden Açıklaması / Aksiyon</t>
        </is>
      </c>
      <c r="M3"/>
    </row>
    <row r="4" ht="18" customHeight="1">
      <c r="A4" s="3" t="n"/>
      <c r="B4" s="3" t="n"/>
      <c r="C4" s="3" t="n"/>
      <c r="D4" s="3" t="n"/>
      <c r="E4" s="3" t="n"/>
      <c r="F4" s="3" t="n"/>
      <c r="G4" s="3">
        <f>IF(OR(E4="",F4=""),"",F4-E4)</f>
        <v/>
      </c>
      <c r="H4" s="4">
        <f>IF(COUNT(E4:F4)&lt;2,"",IF(OR(E4&lt;0,F4&lt;0),"VERİ KONTROL",IF(E4=0,IF(F4=0,1,0),MAX(0,1-ABS(G4)/E4))))</f>
      </c>
      <c r="I4" s="3" t="n"/>
      <c r="J4" s="3" t="n"/>
      <c r="K4" s="5">
        <f>IF(COUNT(E4:F4)&lt;2,"",IF(OR(E4&lt;0,F4&lt;0),"VERİ KONTROL",IF(G4=0,"UYUMLU","FARK İNCELE")))</f>
      </c>
      <c r="L4" s="3" t="n"/>
      <c r="M4"/>
    </row>
    <row r="5" ht="18" customHeight="1">
      <c r="A5" s="3" t="n"/>
      <c r="B5" s="3" t="n"/>
      <c r="C5" s="3" t="n"/>
      <c r="D5" s="3" t="n"/>
      <c r="E5" s="3" t="n"/>
      <c r="F5" s="3" t="n"/>
      <c r="G5" s="3">
        <f>IF(OR(E5="",F5=""),"",F5-E5)</f>
        <v/>
      </c>
      <c r="H5" s="4">
        <f>IF(COUNT(E5:F5)&lt;2,"",IF(OR(E5&lt;0,F5&lt;0),"VERİ KONTROL",IF(E5=0,IF(F5=0,1,0),MAX(0,1-ABS(G5)/E5))))</f>
      </c>
      <c r="I5" s="3" t="n"/>
      <c r="J5" s="3" t="n"/>
      <c r="K5" s="6">
        <f>IF(COUNT(E5:F5)&lt;2,"",IF(OR(E5&lt;0,F5&lt;0),"VERİ KONTROL",IF(G5=0,"UYUMLU","FARK İNCELE")))</f>
      </c>
      <c r="L5" s="3" t="n"/>
    </row>
    <row r="6" ht="18" customHeight="1">
      <c r="A6" s="3" t="n"/>
      <c r="B6" s="3" t="n"/>
      <c r="C6" s="3" t="n"/>
      <c r="D6" s="3" t="n"/>
      <c r="E6" s="3" t="n"/>
      <c r="F6" s="3" t="n"/>
      <c r="G6" s="3">
        <f>IF(OR(E6="",F6=""),"",F6-E6)</f>
        <v/>
      </c>
      <c r="H6" s="4">
        <f>IF(COUNT(E6:F6)&lt;2,"",IF(OR(E6&lt;0,F6&lt;0),"VERİ KONTROL",IF(E6=0,IF(F6=0,1,0),MAX(0,1-ABS(G6)/E6))))</f>
      </c>
      <c r="I6" s="3" t="n"/>
      <c r="J6" s="3" t="n"/>
      <c r="K6" s="7">
        <f>IF(COUNT(E6:F6)&lt;2,"",IF(OR(E6&lt;0,F6&lt;0),"VERİ KONTROL",IF(G6=0,"UYUMLU","FARK İNCELE")))</f>
      </c>
      <c r="L6" s="3" t="n"/>
    </row>
    <row r="7" ht="18" customHeight="1">
      <c r="A7" s="3" t="n"/>
      <c r="B7" s="3" t="n"/>
      <c r="C7" s="3" t="n"/>
      <c r="D7" s="3" t="n"/>
      <c r="E7" s="3" t="n"/>
      <c r="F7" s="3" t="n"/>
      <c r="G7" s="3">
        <f>IF(OR(E7="",F7=""),"",F7-E7)</f>
        <v/>
      </c>
      <c r="H7" s="4">
        <f>IF(COUNT(E7:F7)&lt;2,"",IF(OR(E7&lt;0,F7&lt;0),"VERİ KONTROL",IF(E7=0,IF(F7=0,1,0),MAX(0,1-ABS(G7)/E7))))</f>
      </c>
      <c r="I7" s="3" t="n"/>
      <c r="J7" s="3" t="n"/>
      <c r="K7" s="6">
        <f>IF(COUNT(E7:F7)&lt;2,"",IF(OR(E7&lt;0,F7&lt;0),"VERİ KONTROL",IF(G7=0,"UYUMLU","FARK İNCELE")))</f>
      </c>
      <c r="L7" s="3" t="n"/>
    </row>
    <row r="8" ht="18" customHeight="1">
      <c r="A8" s="3" t="n"/>
      <c r="B8" s="3" t="n"/>
      <c r="C8" s="3" t="n"/>
      <c r="D8" s="3" t="n"/>
      <c r="E8" s="3" t="n"/>
      <c r="F8" s="3" t="n"/>
      <c r="G8" s="3">
        <f>IF(OR(E8="",F8=""),"",F8-E8)</f>
        <v/>
      </c>
      <c r="H8" s="4">
        <f>IF(COUNT(E8:F8)&lt;2,"",IF(OR(E8&lt;0,F8&lt;0),"VERİ KONTROL",IF(E8=0,IF(F8=0,1,0),MAX(0,1-ABS(G8)/E8))))</f>
      </c>
      <c r="I8" s="3" t="n"/>
      <c r="J8" s="3" t="n"/>
      <c r="K8" s="6">
        <f>IF(COUNT(E8:F8)&lt;2,"",IF(OR(E8&lt;0,F8&lt;0),"VERİ KONTROL",IF(G8=0,"UYUMLU","FARK İNCELE")))</f>
      </c>
      <c r="L8" s="3" t="n"/>
    </row>
  </sheetData>
  <mergeCells count="2">
    <mergeCell ref="A1:N1"/>
    <mergeCell ref="A2:N2"/>
  </mergeCells>
  <pageMargins left="0.3" right="0.3" top="0.45" bottom="0.45" header="0.2" footer="0.2"/>
  <pageSetup orientation="landscape" paperSize="9" fitToHeight="0" fitToWidth="2"/>
  <headerFooter differentOddEven="0" differentFirst="0" scaleWithDoc="0" alignWithMargins="1">
    <oddHeader>&amp;L&amp;"Arial,Bold"&amp;11EKG-LOJ-FRM-03&amp;C&amp;"Arial,Regular"&amp;11Devirli Sayım ve Hareketsiz Stok Karar Kaydı</oddHeader>
    <oddFooter>&amp;L&amp;"Arial,Regular"&amp;11İlk Yayın: 12.06.2026 | Revizyon: 24.09.2026
Revizyon nedeni: Sayım farkı ve doğruluk hesapları düzeltildi; hareketsiz stok değerlendirmesi kayıt tarihine bağlandı.&amp;R&amp;11Sayfa &amp;P / &amp;N</oddFooter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7"/>
  <sheetViews>
    <sheetView showGridLines="1" workbookViewId="0">
      <selection activeCell="A1" sqref="A1"/>
    </sheetView>
  </sheetViews>
  <sheetFormatPr baseColWidth="8" defaultRowHeight="15"/>
  <cols>
    <col width="47" customWidth="1" min="1" max="1"/>
    <col width="35" customWidth="1" min="2" max="2"/>
    <col width="13" customWidth="1" min="3" max="3"/>
    <col width="21" customWidth="1" min="4" max="4"/>
    <col width="22" customWidth="1" min="5" max="5"/>
    <col width="21" customWidth="1" min="6" max="6"/>
    <col width="21" customWidth="1" min="7" max="7"/>
    <col width="24" customWidth="1" min="8" max="8"/>
    <col width="85" customWidth="1" min="9" max="9"/>
    <col width="61" customWidth="1" min="10" max="10"/>
    <col width="20" customWidth="1" min="11" max="11"/>
    <col width="18" customWidth="1" min="12" max="12"/>
    <col min="15" max="15" width="13.000" customWidth="1"/>
  </cols>
  <sheetData>
    <row r="1">
      <c r="A1" s="1" t="inlineStr">
        <is>
          <t>HAREKETSİZ VE KULLANIM DIŞI STOK KARAR KAYDI</t>
        </is>
      </c>
    </row>
    <row r="2" ht="19" customHeight="1">
      <c r="A2" t="inlineStr">
        <is>
          <t xml:space="preserve">Karar öncesi ihtiyaç, raf ömrü, müşteri mülkiyeti ve kullanılabilirlik değerlendirilir. Hurda/iade/satış yetkili onayıyla yapılır.</t>
        </is>
      </c>
    </row>
    <row r="3" ht="50" customHeight="1">
      <c r="A3" s="2" t="inlineStr">
        <is>
          <t>Malzeme Kodu</t>
        </is>
      </c>
      <c r="B3" s="2" t="inlineStr">
        <is>
          <t>Malzeme Açıklaması</t>
        </is>
      </c>
      <c r="C3" s="2" t="inlineStr">
        <is>
          <t>ABC Sınıfı</t>
        </is>
      </c>
      <c r="D3" s="2" t="inlineStr">
        <is>
          <t>Mevcut Stok (Adet)</t>
        </is>
      </c>
      <c r="E3" s="2" t="inlineStr">
        <is>
          <t>Birim Maliyet (EUR)</t>
        </is>
      </c>
      <c r="F3" s="2" t="inlineStr">
        <is>
          <t>Toplam Değer (EUR)</t>
        </is>
      </c>
      <c r="G3" s="2" t="inlineStr">
        <is>
          <t>Son Hareket Tarihi</t>
        </is>
      </c>
      <c r="H3" s="2" t="inlineStr">
        <is>
          <t>Hareketsiz Gün Sayısı</t>
        </is>
      </c>
      <c r="I3" s="2" t="inlineStr">
        <is>
          <t xml:space="preserve">Hareket sınıfı</t>
        </is>
      </c>
      <c r="J3" s="2" t="inlineStr">
        <is>
          <t>Kurul Kararı / Aksiyon Planı</t>
        </is>
      </c>
      <c r="K3" s="2" t="inlineStr">
        <is>
          <t>Sorumlu Departman</t>
        </is>
      </c>
      <c r="L3" s="2" t="inlineStr">
        <is>
          <t>Aksiyon Termini</t>
        </is>
      </c>
      <c r="M3" t="inlineStr">
        <is>
          <t xml:space="preserve">Hareketsiz stok eşiği (gün)</t>
        </is>
      </c>
      <c r="N3" t="inlineStr">
        <is>
          <t xml:space="preserve">Yavaş hareket eşiği (gün)</t>
        </is>
      </c>
      <c r="O3" t="inlineStr">
        <is>
          <t xml:space="preserve">Değerlendirme tarihi</t>
        </is>
      </c>
    </row>
    <row r="4" ht="18" customHeight="1">
      <c r="A4" s="3" t="n"/>
      <c r="B4" s="3" t="n"/>
      <c r="C4" s="3" t="n"/>
      <c r="D4" s="3" t="n"/>
      <c r="E4" s="3" t="n"/>
      <c r="F4" s="8">
        <f>IF(OR(D4="",E4=""),"",D4*E4)</f>
        <v/>
      </c>
      <c r="G4" s="3" t="n"/>
      <c r="H4" s="3">
        <f>IF(G4="","",IF($O$4="","TARİH GİRİLMELİ",IF($O$4&lt;G4,"TARİH KONTROL",$O$4-G4)))</f>
      </c>
      <c r="I4" s="7">
        <f>IF(G4="","",IF(NOT(ISNUMBER(H4)),"TARİH KONTROL",IF(COUNT($M$4:$N$4)&lt;2,"EŞİK GİRİLMELİ",IF(OR($M$4&lt;=$N$4,$N$4&lt;0),"EŞİK KONTROL",IF(H4&gt;=$M$4,"HAREKETSİZ",IF(H4&gt;=$N$4,"YAVAŞ HAREKET","AKTİF"))))))</f>
      </c>
      <c r="J4" s="3" t="n"/>
      <c r="K4" s="3" t="n"/>
      <c r="L4" s="3" t="n"/>
    </row>
    <row r="5" ht="18" customHeight="1">
      <c r="A5" s="3" t="n"/>
      <c r="B5" s="3" t="n"/>
      <c r="C5" s="3" t="n"/>
      <c r="D5" s="3" t="n"/>
      <c r="E5" s="3" t="n"/>
      <c r="F5" s="8">
        <f>IF(OR(D5="",E5=""),"",D5*E5)</f>
        <v/>
      </c>
      <c r="G5" s="3" t="n"/>
      <c r="H5" s="3">
        <f>IF(G5="","",IF($O$4="","TARİH GİRİLMELİ",IF($O$4&lt;G5,"TARİH KONTROL",$O$4-G5)))</f>
      </c>
      <c r="I5" s="6">
        <f>IF(G5="","",IF(NOT(ISNUMBER(H5)),"TARİH KONTROL",IF(COUNT($M$4:$N$4)&lt;2,"EŞİK GİRİLMELİ",IF(OR($M$4&lt;=$N$4,$N$4&lt;0),"EŞİK KONTROL",IF(H5&gt;=$M$4,"HAREKETSİZ",IF(H5&gt;=$N$4,"YAVAŞ HAREKET","AKTİF"))))))</f>
      </c>
      <c r="J5" s="3" t="n"/>
      <c r="K5" s="3" t="n"/>
      <c r="L5" s="3" t="n"/>
    </row>
    <row r="6" ht="18" customHeight="1">
      <c r="A6" s="3" t="n"/>
      <c r="B6" s="3" t="n"/>
      <c r="C6" s="3" t="n"/>
      <c r="D6" s="3" t="n"/>
      <c r="E6" s="3" t="n"/>
      <c r="F6" s="8">
        <f>IF(OR(D6="",E6=""),"",D6*E6)</f>
        <v/>
      </c>
      <c r="G6" s="3" t="n"/>
      <c r="H6" s="3">
        <f>IF(G6="","",IF($O$4="","TARİH GİRİLMELİ",IF($O$4&lt;G6,"TARİH KONTROL",$O$4-G6)))</f>
      </c>
      <c r="I6" s="7">
        <f>IF(G6="","",IF(NOT(ISNUMBER(H6)),"TARİH KONTROL",IF(COUNT($M$4:$N$4)&lt;2,"EŞİK GİRİLMELİ",IF(OR($M$4&lt;=$N$4,$N$4&lt;0),"EŞİK KONTROL",IF(H6&gt;=$M$4,"HAREKETSİZ",IF(H6&gt;=$N$4,"YAVAŞ HAREKET","AKTİF"))))))</f>
      </c>
      <c r="J6" s="3" t="n"/>
      <c r="K6" s="3" t="n"/>
      <c r="L6" s="3" t="n"/>
    </row>
    <row r="7" ht="18" customHeight="1">
      <c r="A7" s="3" t="n"/>
      <c r="B7" s="3" t="n"/>
      <c r="C7" s="3" t="n"/>
      <c r="D7" s="3" t="n"/>
      <c r="E7" s="3" t="n"/>
      <c r="F7" s="8">
        <f>IF(OR(D7="",E7=""),"",D7*E7)</f>
        <v/>
      </c>
      <c r="G7" s="3" t="n"/>
      <c r="H7" s="3">
        <f>IF(G7="","",IF($O$4="","TARİH GİRİLMELİ",IF($O$4&lt;G7,"TARİH KONTROL",$O$4-G7)))</f>
      </c>
      <c r="I7" s="5">
        <f>IF(G7="","",IF(NOT(ISNUMBER(H7)),"TARİH KONTROL",IF(COUNT($M$4:$N$4)&lt;2,"EŞİK GİRİLMELİ",IF(OR($M$4&lt;=$N$4,$N$4&lt;0),"EŞİK KONTROL",IF(H7&gt;=$M$4,"HAREKETSİZ",IF(H7&gt;=$N$4,"YAVAŞ HAREKET","AKTİF"))))))</f>
      </c>
      <c r="J7" s="3" t="n"/>
      <c r="K7" s="3" t="n"/>
      <c r="L7" s="3" t="n"/>
    </row>
  </sheetData>
  <mergeCells count="2">
    <mergeCell ref="A1:O1"/>
    <mergeCell ref="A2:O2"/>
  </mergeCells>
  <pageMargins left="0.3" right="0.3" top="0.45" bottom="0.45" header="0.2" footer="0.2"/>
  <pageSetup orientation="landscape" paperSize="9" fitToHeight="0" fitToWidth="2"/>
  <headerFooter differentOddEven="0" differentFirst="0" scaleWithDoc="0" alignWithMargins="1">
    <oddHeader>&amp;L&amp;"Arial,Bold"&amp;11EKG-LOJ-FRM-03&amp;C&amp;"Arial,Regular"&amp;11Devirli Sayım ve Hareketsiz Stok Karar Kaydı</oddHeader>
    <oddFooter>&amp;L&amp;"Arial,Regular"&amp;11İlk Yayın: 12.06.2026 | Revizyon: 24.09.2026
Revizyon nedeni: Sayım farkı ve doğruluk hesapları düzeltildi; hareketsiz stok değerlendirmesi kayıt tarihine bağlandı.&amp;R&amp;11Sayfa &amp;P / &amp;N</odd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2026-06-12T09:00:00Z</dcterms:created>
  <dcterms:modified xmlns:dcterms="http://purl.org/dc/terms/" xmlns:xsi="http://www.w3.org/2001/XMLSchema-instance" xsi:type="dcterms:W3CDTF">2026-10-19T09:00:00Z</dcterms:modified>
</cp:coreProperties>
</file>