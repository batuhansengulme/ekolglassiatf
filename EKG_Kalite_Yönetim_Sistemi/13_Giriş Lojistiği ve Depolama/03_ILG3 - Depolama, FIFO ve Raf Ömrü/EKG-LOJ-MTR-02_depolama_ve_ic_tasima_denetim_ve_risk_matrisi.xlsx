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lama ve Tasima Kontrol" sheetId="1" state="visible" r:id="rId1"/>
    <sheet xmlns:r="http://schemas.openxmlformats.org/officeDocument/2006/relationships" name="Nem ve Sicaklik Takip Logu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2543D"/>
      <sz val="10"/>
    </font>
    <font>
      <name val="Segoe UI"/>
      <b val="1"/>
      <color rgb="00742A2A"/>
      <sz val="10"/>
    </font>
    <font>
      <name val="Segoe UI"/>
      <b val="1"/>
      <color rgb="00744210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FEFCBF"/>
        <bgColor rgb="00FEFCBF"/>
      </patternFill>
    </fill>
    <fill>
      <patternFill patternType="solid">
        <fgColor rgb="FF18364A"/>
        <bgColor indexed="64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5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3" borderId="0" applyAlignment="1" pivotButton="0" quotePrefix="0" xfId="0">
      <alignment horizontal="center" vertical="center" wrapText="1" shrinkToFit="0"/>
    </xf>
    <xf numFmtId="0" fontId="4" fillId="4" borderId="1" applyAlignment="1" pivotButton="0" quotePrefix="0" xfId="0">
      <alignment horizontal="left" vertical="center" wrapText="1" shrinkToFit="0"/>
    </xf>
    <xf numFmtId="0" fontId="4" fillId="4" borderId="1" applyAlignment="1" pivotButton="0" quotePrefix="0" xfId="0">
      <alignment horizontal="center" vertical="center" wrapText="1" shrinkToFit="0"/>
    </xf>
    <xf numFmtId="0" fontId="5" fillId="5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left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6" fillId="6" borderId="1" applyAlignment="1" pivotButton="0" quotePrefix="0" xfId="0">
      <alignment horizontal="center" vertical="center" wrapText="1" shrinkToFit="0"/>
    </xf>
    <xf numFmtId="0" fontId="7" fillId="7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center" wrapText="1" shrinkToFit="0" vertical="top"/>
    </xf>
    <xf numFmtId="0" fontId="4" fillId="0" borderId="1" applyAlignment="1" pivotButton="0" quotePrefix="0" xfId="0">
      <alignment horizontal="right" wrapText="1" shrinkToFit="0" vertical="top"/>
    </xf>
    <xf numFmtId="0" fontId="4" fillId="4" borderId="1" applyAlignment="1" pivotButton="0" quotePrefix="0" xfId="0">
      <alignment horizontal="center" wrapText="1" shrinkToFit="0" vertical="top"/>
    </xf>
    <xf numFmtId="0" fontId="4" fillId="4" borderId="1" applyAlignment="1" pivotButton="0" quotePrefix="0" xfId="0">
      <alignment horizontal="right" wrapText="1" shrinkToFit="0" vertical="top"/>
    </xf>
    <xf numFmtId="0" fontId="8" fillId="8" borderId="0" xfId="0" applyFont="1" applyAlignment="1" applyFill="1">
      <alignment vertical="top" wrapText="1" shrinkToFit="0"/>
    </xf>
    <xf numFmtId="0" fontId="9" fillId="0" borderId="0" xfId="0" applyFont="1" applyAlignment="1">
      <alignment vertical="top" wrapText="1" shrinkToFit="0"/>
    </xf>
    <xf numFmtId="0" fontId="10" fillId="0" borderId="0" xfId="0" applyFont="1" applyAlignment="1">
      <alignment vertical="top" wrapText="1" shrinkToFit="0"/>
    </xf>
    <xf numFmtId="0" fontId="1" fillId="2" borderId="0" applyAlignment="1" pivotButton="0" quotePrefix="0" xfId="0">
      <alignment horizontal="center" vertical="top" wrapText="1" shrinkToFit="0"/>
    </xf>
    <xf numFmtId="0" fontId="0" fillId="0" borderId="0" pivotButton="0" quotePrefix="0" xfId="0" applyAlignment="1">
      <alignment wrapText="1" shrinkToFit="0" vertical="top"/>
    </xf>
    <xf numFmtId="0" fontId="3" fillId="3" borderId="0" applyAlignment="1" pivotButton="0" quotePrefix="0" xfId="0">
      <alignment horizontal="center" vertical="top" wrapText="1" shrinkToFit="0"/>
    </xf>
    <xf numFmtId="0" fontId="4" fillId="0" borderId="1" applyAlignment="1" pivotButton="0" quotePrefix="0" xfId="0">
      <alignment horizontal="center" wrapText="1" shrinkToFit="0" vertical="top"/>
    </xf>
    <xf numFmtId="0" fontId="4" fillId="0" borderId="1" applyAlignment="1" pivotButton="0" quotePrefix="0" xfId="0">
      <alignment horizontal="right" wrapText="1" shrinkToFit="0" vertical="top"/>
    </xf>
    <xf numFmtId="0" fontId="4" fillId="4" borderId="1" applyAlignment="1" pivotButton="0" quotePrefix="0" xfId="0">
      <alignment horizontal="center" wrapText="1" shrinkToFit="0" vertical="top"/>
    </xf>
    <xf numFmtId="0" fontId="4" fillId="4" borderId="1" applyAlignment="1" pivotButton="0" quotePrefix="0" xfId="0">
      <alignment horizontal="right" wrapText="1" shrinkToFit="0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34" customWidth="1" min="2" max="2"/>
    <col width="70" customWidth="1" min="3" max="3"/>
    <col width="31" customWidth="1" min="4" max="4"/>
    <col width="18" customWidth="1" min="5" max="5"/>
    <col width="15" customWidth="1" min="6" max="6"/>
    <col width="73" customWidth="1" min="7" max="7"/>
    <col min="8" max="8" width="7.928" customWidth="1"/>
  </cols>
  <sheetData>
    <row r="1" ht="40" customHeight="1">
      <c r="A1" s="1" t="inlineStr">
        <is>
          <t>DEPOLAMA VE İÇ TAŞIMA DENETİM / KONTROL PANELİ</t>
        </is>
      </c>
    </row>
    <row r="3" ht="33" customHeight="1">
      <c r="A3" s="2" t="inlineStr">
        <is>
          <t xml:space="preserve">Doküman No: EKG-LOJ-MTR-02 | Yürürlük Tarihi:</t>
        </is>
      </c>
      <c r="B3" s="2" t="inlineStr">
        <is>
          <t xml:space="preserve">Yürürlük Tarihi: 04.05.2026</t>
        </is>
      </c>
    </row>
    <row r="5" ht="30" customHeight="1">
      <c r="A5" s="3" t="inlineStr">
        <is>
          <t>Kontrol Alanı</t>
        </is>
      </c>
      <c r="B5" s="3" t="inlineStr">
        <is>
          <t>Kritik Parametre / Risk</t>
        </is>
      </c>
      <c r="C5" s="3" t="inlineStr">
        <is>
          <t>Standart / Kriter</t>
        </is>
      </c>
      <c r="D5" s="3" t="inlineStr">
        <is>
          <t>Ölçüm Yöntemi / Araç</t>
        </is>
      </c>
      <c r="E5" s="3" t="inlineStr">
        <is>
          <t>Kontrol Sıklığı</t>
        </is>
      </c>
      <c r="F5" s="3" t="inlineStr">
        <is>
          <t>Mevcut Durum</t>
        </is>
      </c>
      <c r="G5" s="3" t="inlineStr">
        <is>
          <t>Aksiyon / Reaksiyon Planı</t>
        </is>
      </c>
    </row>
    <row r="6" ht="24" customHeight="1">
      <c r="A6" s="4" t="inlineStr">
        <is>
          <t>Sehpa Yönetimi &amp; FIFO</t>
        </is>
      </c>
      <c r="B6" s="4" t="inlineStr">
        <is>
          <t>Akışlı Raf / Sehpa Yükleme Yönü</t>
        </is>
      </c>
      <c r="C6" s="4" t="inlineStr">
        <is>
          <t>Yükleme arkadan (Loading), çekim önden (Unloading) olmalı.</t>
        </is>
      </c>
      <c r="D6" s="4" t="inlineStr">
        <is>
          <t>Gözle Kontrol / Şerit Takibi</t>
        </is>
      </c>
      <c r="E6" s="5" t="inlineStr">
        <is>
          <t>Her Vardiya</t>
        </is>
      </c>
      <c r="F6" s="6" t="n"/>
      <c r="G6" s="4" t="n"/>
    </row>
    <row r="7" ht="24" customHeight="1">
      <c r="A7" s="7" t="inlineStr">
        <is>
          <t>Sehpa Yönetimi &amp; FIFO</t>
        </is>
      </c>
      <c r="B7" s="7" t="inlineStr">
        <is>
          <t>Kronolojik Etiketleme</t>
        </is>
      </c>
      <c r="C7" s="7" t="inlineStr">
        <is>
          <t>Barkod/Lot etiketleri dışa dönük ve okunur olmalı.</t>
        </is>
      </c>
      <c r="D7" s="7" t="inlineStr">
        <is>
          <t>El Terminali / Gözle Kontrol</t>
        </is>
      </c>
      <c r="E7" s="8" t="inlineStr">
        <is>
          <t>Sürekli</t>
        </is>
      </c>
      <c r="F7" s="6" t="n"/>
      <c r="G7" s="7" t="n"/>
    </row>
    <row r="8" ht="61" customHeight="1">
      <c r="A8" s="4" t="inlineStr">
        <is>
          <t>Sehpa Yönetimi &amp; FIFO</t>
        </is>
      </c>
      <c r="B8" s="4" t="inlineStr">
        <is>
          <t>Sistemsel FIFO Onayı</t>
        </is>
      </c>
      <c r="C8" s="4" t="inlineStr">
        <is>
          <t xml:space="preserve">Uygun lotlar içinde FIFO; raf ömürlü malzemede FEFO doğrulanır. Sistem engeli yoksa kayıtlı manuel doğrulama yapılır.</t>
        </is>
      </c>
      <c r="D8" s="4" t="inlineStr">
        <is>
          <t>Sistem Doğrulaması (Barkod)</t>
        </is>
      </c>
      <c r="E8" s="5" t="inlineStr">
        <is>
          <t>Sürekli</t>
        </is>
      </c>
      <c r="F8" s="6" t="n"/>
      <c r="G8" s="4" t="n"/>
    </row>
    <row r="9" ht="75" customHeight="1">
      <c r="A9" s="7" t="inlineStr">
        <is>
          <t>Nem Kontrolü</t>
        </is>
      </c>
      <c r="B9" s="7" t="inlineStr">
        <is>
          <t>Depo Nem Oranı</t>
        </is>
      </c>
      <c r="C9" s="7" t="inlineStr">
        <is>
          <t>Onaylı depo standardı / risk değerlendirmesinde tanımlı kriter.</t>
        </is>
      </c>
      <c r="D9" s="7" t="inlineStr">
        <is>
          <t>Dijital Higrometre</t>
        </is>
      </c>
      <c r="E9" s="8" t="inlineStr">
        <is>
          <t xml:space="preserve">Onaylı ortam izleme planına göre</t>
        </is>
      </c>
      <c r="F9" s="9" t="n"/>
      <c r="G9" s="7" t="n"/>
    </row>
    <row r="10" ht="75" customHeight="1">
      <c r="A10" s="4" t="inlineStr">
        <is>
          <t>Nem Kontrolü</t>
        </is>
      </c>
      <c r="B10" s="4" t="inlineStr">
        <is>
          <t>Depo Sıcaklığı</t>
        </is>
      </c>
      <c r="C10" s="4" t="inlineStr">
        <is>
          <t>Onaylı depo standardı / risk değerlendirmesinde tanımlı kriter.</t>
        </is>
      </c>
      <c r="D10" s="4" t="inlineStr">
        <is>
          <t>Dijital Termometre</t>
        </is>
      </c>
      <c r="E10" s="5" t="inlineStr">
        <is>
          <t xml:space="preserve">Onaylı ortam izleme planına göre</t>
        </is>
      </c>
      <c r="F10" s="6" t="n"/>
      <c r="G10" s="4" t="n"/>
    </row>
    <row r="11" ht="75" customHeight="1">
      <c r="A11" s="7" t="inlineStr">
        <is>
          <t>Nem Kontrolü</t>
        </is>
      </c>
      <c r="B11" s="7" t="inlineStr">
        <is>
          <t>Zeminden / Duvardan Uzaklık</t>
        </is>
      </c>
      <c r="C11" s="7" t="inlineStr">
        <is>
          <t>Onaylı depo standardı / risk değerlendirmesinde tanımlı kriter.</t>
        </is>
      </c>
      <c r="D11" s="7" t="inlineStr">
        <is>
          <t>Gözle Kontrol / Ölçüm</t>
        </is>
      </c>
      <c r="E11" s="8" t="inlineStr">
        <is>
          <t xml:space="preserve">Onaylı saha kontrol planına göre</t>
        </is>
      </c>
      <c r="F11" s="6" t="n"/>
      <c r="G11" s="7" t="n"/>
    </row>
    <row r="12" ht="61" customHeight="1">
      <c r="A12" s="4" t="inlineStr">
        <is>
          <t>İç Taşıma &amp; Kırık Riski</t>
        </is>
      </c>
      <c r="B12" s="4" t="inlineStr">
        <is>
          <t>Fabrika İçi Hız Sınırı</t>
        </is>
      </c>
      <c r="C12" s="4" t="inlineStr">
        <is>
          <t>Onaylı depo standardı / risk değerlendirmesinde tanımlı kriter.</t>
        </is>
      </c>
      <c r="D12" s="4" t="inlineStr">
        <is>
          <t xml:space="preserve">Saha trafik planına göre gözlem / mevcut takip yöntemi</t>
        </is>
      </c>
      <c r="E12" s="5" t="inlineStr">
        <is>
          <t>Anlık / Sürekli</t>
        </is>
      </c>
      <c r="F12" s="10" t="n"/>
      <c r="G12" s="4" t="n"/>
    </row>
    <row r="13" ht="47" customHeight="1">
      <c r="A13" s="7" t="inlineStr">
        <is>
          <t>İç Taşıma &amp; Kırık Riski</t>
        </is>
      </c>
      <c r="B13" s="7" t="inlineStr">
        <is>
          <t>Üst Üste İstifleme (Stacking)</t>
        </is>
      </c>
      <c r="C13" s="7" t="inlineStr">
        <is>
          <t xml:space="preserve">Ambalaj/raf üzerindeki onaylı dolu-boş istif ve kapasite sınırları.</t>
        </is>
      </c>
      <c r="D13" s="7" t="inlineStr">
        <is>
          <t>Gözle Kontrol</t>
        </is>
      </c>
      <c r="E13" s="8" t="inlineStr">
        <is>
          <t>Sürekli</t>
        </is>
      </c>
      <c r="F13" s="6" t="n"/>
      <c r="G13" s="7" t="n"/>
    </row>
    <row r="14" ht="24" customHeight="1">
      <c r="A14" s="4" t="inlineStr">
        <is>
          <t>İç Taşıma &amp; Kırık Riski</t>
        </is>
      </c>
      <c r="B14" s="4" t="inlineStr">
        <is>
          <t>Seperatör ve Sabitleme</t>
        </is>
      </c>
      <c r="C14" s="4" t="inlineStr">
        <is>
          <t>Onaylı depo standardı / risk değerlendirmesinde tanımlı kriter.</t>
        </is>
      </c>
      <c r="D14" s="4" t="inlineStr">
        <is>
          <t>Gözle Kontrol</t>
        </is>
      </c>
      <c r="E14" s="5" t="inlineStr">
        <is>
          <t>Yükleme Esnası</t>
        </is>
      </c>
      <c r="F14" s="6" t="n"/>
      <c r="G14" s="4" t="n"/>
    </row>
  </sheetData>
  <mergeCells count="1">
    <mergeCell ref="A1:G1"/>
  </mergeCells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&amp;L&amp;"Arial,Bold"&amp;11EKG-LOJ-MTR-02&amp;C&amp;"Arial,Regular"&amp;11Depolama ve İç Taşıma Denetim ve Risk Matrisi</oddHeader>
    <oddFooter>&amp;L&amp;"Arial,Regular"&amp;11İlk Yayın: 04.05.2026 | Revizyon: 19.10.2026&amp;R&amp;11Sayfa &amp;P / &amp;N</oddFooter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  <col width="50" customWidth="1" min="4" max="4"/>
    <col width="16" customWidth="1" min="5" max="5"/>
    <col width="37" customWidth="1" min="6" max="6"/>
    <col min="7" max="7" width="45" customWidth="1"/>
  </cols>
  <sheetData>
    <row r="1" ht="40" customHeight="1">
      <c r="A1" s="18" t="inlineStr">
        <is>
          <t>NEM VE SICAKLIK GÜNLÜK TAKİP ÇİZELGESİ</t>
        </is>
      </c>
    </row>
    <row r="2" ht="19" customHeight="1">
      <c r="A2" t="inlineStr" s="19">
        <is>
          <t xml:space="preserve">Alan / malzeme ve kriter kaynağı: __________ | Ölçüm cihazı / kontrol eden: __________</t>
        </is>
      </c>
    </row>
    <row r="3" ht="33" customHeight="1">
      <c r="A3" t="inlineStr" s="19">
        <is>
          <t xml:space="preserve">Sıcaklık alt sınırı (°C)</t>
        </is>
      </c>
      <c r="D3" t="inlineStr" s="19">
        <is>
          <t xml:space="preserve">Sıcaklık üst sınırı (°C)</t>
        </is>
      </c>
      <c r="G3" t="inlineStr" s="19">
        <is>
          <t xml:space="preserve">Azami nem (% RH)</t>
        </is>
      </c>
    </row>
    <row r="4" ht="60" customHeight="1">
      <c r="A4" s="20" t="inlineStr">
        <is>
          <t>Tarih</t>
        </is>
      </c>
      <c r="B4" s="20" t="inlineStr">
        <is>
          <t>Kontrol Saati</t>
        </is>
      </c>
      <c r="C4" s="20" t="inlineStr">
        <is>
          <t>Sıcaklık (°C)</t>
        </is>
      </c>
      <c r="D4" s="20" t="inlineStr">
        <is>
          <t xml:space="preserve">Sıcaklık durumu</t>
        </is>
      </c>
      <c r="E4" s="20" t="inlineStr">
        <is>
          <t>Bağıl Nem (%)</t>
        </is>
      </c>
      <c r="F4" s="20" t="inlineStr">
        <is>
          <t xml:space="preserve">Nem durumu</t>
        </is>
      </c>
      <c r="G4" t="inlineStr" s="19">
        <is>
          <t xml:space="preserve">Sapma / etkilenen stok / aksiyon ve sorumlu</t>
        </is>
      </c>
    </row>
    <row r="5" ht="18" customHeight="1">
      <c r="A5" s="21" t="n"/>
      <c r="B5" s="21" t="n"/>
      <c r="C5" s="22" t="n"/>
      <c r="D5" s="21">
        <f>IF(C5="","",IF(COUNT(C$3,F$3)&lt;2,"KRİTER GİRİLMELİ",IF(C$3&gt;F$3,"KRİTER KONTROL",IF(AND(C5&gt;=C$3,C5&lt;=F$3),"UYGUN","LİMİT DIŞI"))))</f>
      </c>
      <c r="E5" s="22" t="n"/>
      <c r="F5" s="21">
        <f>IF(E5="","",IF(I$3="","KRİTER GİRİLMELİ",IF(OR(I$3&lt;0,I$3&gt;100,E5&lt;0,E5&gt;100),"VERİ KONTROL",IF(E5&lt;=I$3,"UYGUN","LİMİT DIŞI"))))</f>
      </c>
    </row>
    <row r="6" ht="18" customHeight="1">
      <c r="A6" s="23" t="n"/>
      <c r="B6" s="23" t="n"/>
      <c r="C6" s="24" t="n"/>
      <c r="D6" s="23">
        <f>IF(C6="","",IF(COUNT(C$3,F$3)&lt;2,"KRİTER GİRİLMELİ",IF(C$3&gt;F$3,"KRİTER KONTROL",IF(AND(C6&gt;=C$3,C6&lt;=F$3),"UYGUN","LİMİT DIŞI"))))</f>
      </c>
      <c r="E6" s="24" t="n"/>
      <c r="F6" s="23">
        <f>IF(E6="","",IF(I$3="","KRİTER GİRİLMELİ",IF(OR(I$3&lt;0,I$3&gt;100,E6&lt;0,E6&gt;100),"VERİ KONTROL",IF(E6&lt;=I$3,"UYGUN","LİMİT DIŞI"))))</f>
      </c>
    </row>
    <row r="7" ht="18" customHeight="1">
      <c r="A7" s="21" t="n"/>
      <c r="B7" s="21" t="n"/>
      <c r="C7" s="22" t="n"/>
      <c r="D7" s="21">
        <f>IF(C7="","",IF(COUNT(C$3,F$3)&lt;2,"KRİTER GİRİLMELİ",IF(C$3&gt;F$3,"KRİTER KONTROL",IF(AND(C7&gt;=C$3,C7&lt;=F$3),"UYGUN","LİMİT DIŞI"))))</f>
      </c>
      <c r="E7" s="22" t="n"/>
      <c r="F7" s="21">
        <f>IF(E7="","",IF(I$3="","KRİTER GİRİLMELİ",IF(OR(I$3&lt;0,I$3&gt;100,E7&lt;0,E7&gt;100),"VERİ KONTROL",IF(E7&lt;=I$3,"UYGUN","LİMİT DIŞI"))))</f>
      </c>
    </row>
    <row r="8" ht="18" customHeight="1">
      <c r="A8" s="23" t="n"/>
      <c r="B8" s="23" t="n"/>
      <c r="C8" s="24" t="n"/>
      <c r="D8" s="23">
        <f>IF(C8="","",IF(COUNT(C$3,F$3)&lt;2,"KRİTER GİRİLMELİ",IF(C$3&gt;F$3,"KRİTER KONTROL",IF(AND(C8&gt;=C$3,C8&lt;=F$3),"UYGUN","LİMİT DIŞI"))))</f>
      </c>
      <c r="E8" s="24" t="n"/>
      <c r="F8" s="23">
        <f>IF(E8="","",IF(I$3="","KRİTER GİRİLMELİ",IF(OR(I$3&lt;0,I$3&gt;100,E8&lt;0,E8&gt;100),"VERİ KONTROL",IF(E8&lt;=I$3,"UYGUN","LİMİT DIŞI"))))</f>
      </c>
    </row>
    <row r="9" ht="18" customHeight="1">
      <c r="A9" s="21" t="n"/>
      <c r="B9" s="21" t="n"/>
      <c r="C9" s="22" t="n"/>
      <c r="D9" s="21">
        <f>IF(C9="","",IF(COUNT(C$3,F$3)&lt;2,"KRİTER GİRİLMELİ",IF(C$3&gt;F$3,"KRİTER KONTROL",IF(AND(C9&gt;=C$3,C9&lt;=F$3),"UYGUN","LİMİT DIŞI"))))</f>
      </c>
      <c r="E9" s="22" t="n"/>
      <c r="F9" s="21">
        <f>IF(E9="","",IF(I$3="","KRİTER GİRİLMELİ",IF(OR(I$3&lt;0,I$3&gt;100,E9&lt;0,E9&gt;100),"VERİ KONTROL",IF(E9&lt;=I$3,"UYGUN","LİMİT DIŞI"))))</f>
      </c>
    </row>
    <row r="10" ht="18" customHeight="1">
      <c r="A10" s="23" t="n"/>
      <c r="B10" s="23" t="n"/>
      <c r="C10" s="24" t="n"/>
      <c r="D10" s="23">
        <f>IF(C10="","",IF(COUNT(C$3,F$3)&lt;2,"KRİTER GİRİLMELİ",IF(C$3&gt;F$3,"KRİTER KONTROL",IF(AND(C10&gt;=C$3,C10&lt;=F$3),"UYGUN","LİMİT DIŞI"))))</f>
      </c>
      <c r="E10" s="24" t="n"/>
      <c r="F10" s="23">
        <f>IF(E10="","",IF(I$3="","KRİTER GİRİLMELİ",IF(OR(I$3&lt;0,I$3&gt;100,E10&lt;0,E10&gt;100),"VERİ KONTROL",IF(E10&lt;=I$3,"UYGUN","LİMİT DIŞI"))))</f>
      </c>
    </row>
    <row r="11" ht="18" customHeight="1">
      <c r="A11" s="21" t="n"/>
      <c r="B11" s="21" t="n"/>
      <c r="C11" s="22" t="n"/>
      <c r="D11" s="21">
        <f>IF(C11="","",IF(COUNT(C$3,F$3)&lt;2,"KRİTER GİRİLMELİ",IF(C$3&gt;F$3,"KRİTER KONTROL",IF(AND(C11&gt;=C$3,C11&lt;=F$3),"UYGUN","LİMİT DIŞI"))))</f>
      </c>
      <c r="E11" s="22" t="n"/>
      <c r="F11" s="21">
        <f>IF(E11="","",IF(I$3="","KRİTER GİRİLMELİ",IF(OR(I$3&lt;0,I$3&gt;100,E11&lt;0,E11&gt;100),"VERİ KONTROL",IF(E11&lt;=I$3,"UYGUN","LİMİT DIŞI"))))</f>
      </c>
    </row>
    <row r="12" ht="18" customHeight="1">
      <c r="A12" s="23" t="n"/>
      <c r="B12" s="23" t="n"/>
      <c r="C12" s="24" t="n"/>
      <c r="D12" s="23">
        <f>IF(C12="","",IF(COUNT(C$3,F$3)&lt;2,"KRİTER GİRİLMELİ",IF(C$3&gt;F$3,"KRİTER KONTROL",IF(AND(C12&gt;=C$3,C12&lt;=F$3),"UYGUN","LİMİT DIŞI"))))</f>
      </c>
      <c r="E12" s="24" t="n"/>
      <c r="F12" s="23">
        <f>IF(E12="","",IF(I$3="","KRİTER GİRİLMELİ",IF(OR(I$3&lt;0,I$3&gt;100,E12&lt;0,E12&gt;100),"VERİ KONTROL",IF(E12&lt;=I$3,"UYGUN","LİMİT DIŞI"))))</f>
      </c>
    </row>
    <row r="13" ht="18" customHeight="1">
      <c r="A13" s="21" t="n"/>
      <c r="B13" s="21" t="n"/>
      <c r="C13" s="22" t="n"/>
      <c r="D13" s="21">
        <f>IF(C13="","",IF(COUNT(C$3,F$3)&lt;2,"KRİTER GİRİLMELİ",IF(C$3&gt;F$3,"KRİTER KONTROL",IF(AND(C13&gt;=C$3,C13&lt;=F$3),"UYGUN","LİMİT DIŞI"))))</f>
      </c>
      <c r="E13" s="22" t="n"/>
      <c r="F13" s="21">
        <f>IF(E13="","",IF(I$3="","KRİTER GİRİLMELİ",IF(OR(I$3&lt;0,I$3&gt;100,E13&lt;0,E13&gt;100),"VERİ KONTROL",IF(E13&lt;=I$3,"UYGUN","LİMİT DIŞI"))))</f>
      </c>
    </row>
    <row r="14" ht="18" customHeight="1">
      <c r="A14" s="23" t="n"/>
      <c r="B14" s="23" t="n"/>
      <c r="C14" s="24" t="n"/>
      <c r="D14" s="23">
        <f>IF(C14="","",IF(COUNT(C$3,F$3)&lt;2,"KRİTER GİRİLMELİ",IF(C$3&gt;F$3,"KRİTER KONTROL",IF(AND(C14&gt;=C$3,C14&lt;=F$3),"UYGUN","LİMİT DIŞI"))))</f>
      </c>
      <c r="E14" s="24" t="n"/>
      <c r="F14" s="23">
        <f>IF(E14="","",IF(I$3="","KRİTER GİRİLMELİ",IF(OR(I$3&lt;0,I$3&gt;100,E14&lt;0,E14&gt;100),"VERİ KONTROL",IF(E14&lt;=I$3,"UYGUN","LİMİT DIŞI"))))</f>
      </c>
    </row>
    <row r="15" ht="18" customHeight="1">
      <c r="A15" s="21" t="n"/>
      <c r="B15" s="21" t="n"/>
      <c r="C15" s="22" t="n"/>
      <c r="D15" s="21">
        <f>IF(C15="","",IF(COUNT(C$3,F$3)&lt;2,"KRİTER GİRİLMELİ",IF(C$3&gt;F$3,"KRİTER KONTROL",IF(AND(C15&gt;=C$3,C15&lt;=F$3),"UYGUN","LİMİT DIŞI"))))</f>
      </c>
      <c r="E15" s="22" t="n"/>
      <c r="F15" s="21">
        <f>IF(E15="","",IF(I$3="","KRİTER GİRİLMELİ",IF(OR(I$3&lt;0,I$3&gt;100,E15&lt;0,E15&gt;100),"VERİ KONTROL",IF(E15&lt;=I$3,"UYGUN","LİMİT DIŞI"))))</f>
      </c>
    </row>
    <row r="16" ht="18" customHeight="1">
      <c r="A16" s="23" t="n"/>
      <c r="B16" s="23" t="n"/>
      <c r="C16" s="24" t="n"/>
      <c r="D16" s="23">
        <f>IF(C16="","",IF(COUNT(C$3,F$3)&lt;2,"KRİTER GİRİLMELİ",IF(C$3&gt;F$3,"KRİTER KONTROL",IF(AND(C16&gt;=C$3,C16&lt;=F$3),"UYGUN","LİMİT DIŞI"))))</f>
      </c>
      <c r="E16" s="24" t="n"/>
      <c r="F16" s="23">
        <f>IF(E16="","",IF(I$3="","KRİTER GİRİLMELİ",IF(OR(I$3&lt;0,I$3&gt;100,E16&lt;0,E16&gt;100),"VERİ KONTROL",IF(E16&lt;=I$3,"UYGUN","LİMİT DIŞI"))))</f>
      </c>
    </row>
    <row r="17" ht="18" customHeight="1">
      <c r="A17" s="21" t="n"/>
      <c r="B17" s="21" t="n"/>
      <c r="C17" s="22" t="n"/>
      <c r="D17" s="21">
        <f>IF(C17="","",IF(COUNT(C$3,F$3)&lt;2,"KRİTER GİRİLMELİ",IF(C$3&gt;F$3,"KRİTER KONTROL",IF(AND(C17&gt;=C$3,C17&lt;=F$3),"UYGUN","LİMİT DIŞI"))))</f>
      </c>
      <c r="E17" s="22" t="n"/>
      <c r="F17" s="21">
        <f>IF(E17="","",IF(I$3="","KRİTER GİRİLMELİ",IF(OR(I$3&lt;0,I$3&gt;100,E17&lt;0,E17&gt;100),"VERİ KONTROL",IF(E17&lt;=I$3,"UYGUN","LİMİT DIŞI"))))</f>
      </c>
    </row>
    <row r="18" ht="18" customHeight="1">
      <c r="A18" s="23" t="n"/>
      <c r="B18" s="23" t="n"/>
      <c r="C18" s="24" t="n"/>
      <c r="D18" s="23">
        <f>IF(C18="","",IF(COUNT(C$3,F$3)&lt;2,"KRİTER GİRİLMELİ",IF(C$3&gt;F$3,"KRİTER KONTROL",IF(AND(C18&gt;=C$3,C18&lt;=F$3),"UYGUN","LİMİT DIŞI"))))</f>
      </c>
      <c r="E18" s="24" t="n"/>
      <c r="F18" s="23">
        <f>IF(E18="","",IF(I$3="","KRİTER GİRİLMELİ",IF(OR(I$3&lt;0,I$3&gt;100,E18&lt;0,E18&gt;100),"VERİ KONTROL",IF(E18&lt;=I$3,"UYGUN","LİMİT DIŞI"))))</f>
      </c>
    </row>
  </sheetData>
  <mergeCells count="2">
    <mergeCell ref="A1:F1"/>
    <mergeCell ref="A2:G2"/>
  </mergeCells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&amp;L&amp;"Arial,Bold"&amp;11EKG-LOJ-MTR-02&amp;C&amp;"Arial,Regular"&amp;11Depolama ve İç Taşıma Denetim ve Risk Matrisi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