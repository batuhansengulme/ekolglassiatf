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limat Takip Panosu" sheetId="1" state="visible" r:id="rId1"/>
    <sheet xmlns:r="http://schemas.openxmlformats.org/officeDocument/2006/relationships" name="Gelen Malzeme Alarm Matrisi" sheetId="2" state="visible" r:id="rId2"/>
  </sheets>
  <definedNames>
    <definedName name="_xlnm.Print_Area" localSheetId="0">'Teslimat Takip Panosu'!$A$1:$M$8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;[Red]-#,##0;0"/>
    <numFmt numFmtId="165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5B6573"/>
      <sz val="9"/>
    </font>
    <font>
      <name val="Arial"/>
      <b val="1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7324D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vertical="center" wrapText="1" shrinkToFit="0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center" wrapText="1" shrinkToFit="0" vertical="top"/>
    </xf>
    <xf numFmtId="3" fontId="3" fillId="0" borderId="1" applyAlignment="1" pivotButton="0" quotePrefix="0" xfId="0">
      <alignment horizontal="right" wrapText="1" shrinkToFit="0" vertical="top"/>
    </xf>
    <xf numFmtId="164" fontId="3" fillId="0" borderId="1" pivotButton="0" quotePrefix="0" xfId="0" applyAlignment="1">
      <alignment wrapText="1" shrinkToFit="0" vertical="top"/>
    </xf>
    <xf numFmtId="1" fontId="3" fillId="0" borderId="1" pivotButton="0" quotePrefix="0" xfId="0" applyAlignment="1">
      <alignment wrapText="1" shrinkToFit="0" vertical="top"/>
    </xf>
    <xf numFmtId="0" fontId="4" fillId="0" borderId="1" applyAlignment="1" pivotButton="0" quotePrefix="0" xfId="0">
      <alignment horizontal="center" wrapText="1" shrinkToFit="0" vertical="top"/>
    </xf>
    <xf numFmtId="165" fontId="4" fillId="0" borderId="1" applyAlignment="1" pivotButton="0" quotePrefix="0" xfId="0">
      <alignment horizontal="right" wrapText="1" shrinkToFit="0" vertical="top"/>
    </xf>
    <xf numFmtId="3" fontId="3" fillId="0" borderId="1" pivotButton="0" quotePrefix="0" xfId="0" applyAlignment="1">
      <alignment wrapText="1" shrinkToFit="0" vertical="top"/>
    </xf>
    <xf numFmtId="0" fontId="5" fillId="3" borderId="0" applyAlignment="1" pivotButton="0" quotePrefix="0" xfId="0">
      <alignment vertical="center" wrapText="1" shrinkToFit="0"/>
    </xf>
    <xf numFmtId="0" fontId="6" fillId="2" borderId="0" applyAlignment="1" pivotButton="0" quotePrefix="0" xfId="0">
      <alignment vertical="top" wrapText="1" shrinkToFit="0"/>
    </xf>
    <xf numFmtId="164" fontId="7" fillId="0" borderId="1" applyAlignment="1" pivotButton="0" quotePrefix="0" xfId="0">
      <alignment vertical="top" wrapText="1" shrinkToFit="0"/>
    </xf>
    <xf numFmtId="1" fontId="7" fillId="0" borderId="1" applyAlignment="1" pivotButton="0" quotePrefix="0" xfId="0">
      <alignment vertical="top" wrapText="1" shrinkToFit="0"/>
    </xf>
    <xf numFmtId="0" fontId="8" fillId="0" borderId="1" applyAlignment="1" pivotButton="0" quotePrefix="0" xfId="0">
      <alignment vertical="top" wrapText="1" shrinkToFit="0"/>
    </xf>
    <xf numFmtId="165" fontId="8" fillId="0" borderId="1" applyAlignment="1" pivotButton="0" quotePrefix="0" xfId="0">
      <alignment vertical="top" wrapText="1" shrinkToFit="0"/>
    </xf>
    <xf numFmtId="0" fontId="9" fillId="4" borderId="0" xfId="0" applyFont="1" applyAlignment="1" applyFill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30" customWidth="1" min="4" max="4"/>
    <col width="19" customWidth="1" min="5" max="5"/>
    <col width="18" customWidth="1" min="6" max="6"/>
    <col width="23" customWidth="1" min="7" max="7"/>
    <col width="21" customWidth="1" min="8" max="8"/>
    <col width="18" customWidth="1" min="9" max="9"/>
    <col width="33" customWidth="1" min="10" max="10"/>
    <col width="83" customWidth="1" min="11" max="11"/>
    <col min="12" max="12" width="7.385" customWidth="1"/>
    <col min="13" max="13" width="7.385" customWidth="1"/>
  </cols>
  <sheetData>
    <row r="1" ht="35" customHeight="1">
      <c r="A1" s="11" t="inlineStr">
        <is>
          <t>TESLİMAT TAKİP PANOSU (INBOUND LOGISTICS)</t>
        </is>
      </c>
    </row>
    <row r="2" ht="19" customHeight="1">
      <c r="A2" t="inlineStr">
        <is>
          <t xml:space="preserve">Teslimat penceresi müşteri/satın alma şartına göre yorumlanır. Açık siparişin gecikmesi ve eksik miktarı ayrıca takip edilir.</t>
        </is>
      </c>
    </row>
    <row r="3" ht="28" customHeight="1">
      <c r="A3" s="12" t="inlineStr">
        <is>
          <t>Sipariş No (PO)</t>
        </is>
      </c>
      <c r="B3" s="12" t="inlineStr">
        <is>
          <t>Tedarikçi Adı</t>
        </is>
      </c>
      <c r="C3" s="12" t="inlineStr">
        <is>
          <t>Malzeme Kodu</t>
        </is>
      </c>
      <c r="D3" s="12" t="inlineStr">
        <is>
          <t>Malzeme Açıklaması</t>
        </is>
      </c>
      <c r="E3" s="12" t="inlineStr">
        <is>
          <t>Planlanan Tarih</t>
        </is>
      </c>
      <c r="F3" s="12" t="inlineStr">
        <is>
          <t>Planlanan Adet</t>
        </is>
      </c>
      <c r="G3" s="12" t="inlineStr">
        <is>
          <t>Fiili Teslim Tarihi</t>
        </is>
      </c>
      <c r="H3" s="12" t="inlineStr">
        <is>
          <t>Fiili Teslim Adet</t>
        </is>
      </c>
      <c r="I3" s="12" t="inlineStr">
        <is>
          <t>Miktar Sapması</t>
        </is>
      </c>
      <c r="J3" s="12" t="inlineStr">
        <is>
          <t>Gecikme (Gün)</t>
        </is>
      </c>
      <c r="K3" s="12" t="inlineStr">
        <is>
          <t>Teslimat Durumu</t>
        </is>
      </c>
    </row>
    <row r="4" ht="18" customHeight="1">
      <c r="A4" s="3" t="n"/>
      <c r="B4" s="3" t="n"/>
      <c r="C4" s="3" t="n"/>
      <c r="D4" s="3" t="n"/>
      <c r="E4" s="4" t="n"/>
      <c r="F4" s="5" t="n"/>
      <c r="G4" s="4" t="n"/>
      <c r="H4" s="5" t="n"/>
      <c r="I4" s="13">
        <f>IF(COUNT(F4,H4)&lt;2,"",H4-F4)</f>
      </c>
      <c r="J4" s="14">
        <f>IF(E4="","",IF(G4="",MAX(0,TODAY()-E4),MAX(0,G4-E4)))</f>
      </c>
      <c r="K4" s="15">
        <f>IF(COUNTA(A4:H4)=0,"",IF(OR(E4="",F4=""),"EKSİK VERİ",IF(OR(F4&lt;0,H4&lt;0),"VERİ KONTROL",IF(G4="",IF(TODAY()&gt;E4,"GECİKİYOR","PLANLI"),IF(H4="","MİKTAR EKSİK",IF(OR(G4&gt;E4,H4&lt;F4),"GECİKME / EKSİK",IF(H4&gt;F4,"FAZLA MİKTAR","ZAMANINDA")))))))</f>
      </c>
    </row>
    <row r="5" ht="18" customHeight="1">
      <c r="A5" s="3" t="n"/>
      <c r="B5" s="3" t="n"/>
      <c r="C5" s="3" t="n"/>
      <c r="D5" s="3" t="n"/>
      <c r="E5" s="4" t="n"/>
      <c r="F5" s="5" t="n"/>
      <c r="G5" s="4" t="n"/>
      <c r="H5" s="5" t="n"/>
      <c r="I5" s="13">
        <f>IF(COUNT(F5,H5)&lt;2,"",H5-F5)</f>
      </c>
      <c r="J5" s="14">
        <f>IF(E5="","",IF(G5="",MAX(0,TODAY()-E5),MAX(0,G5-E5)))</f>
      </c>
      <c r="K5" s="15">
        <f>IF(COUNTA(A5:H5)=0,"",IF(OR(E5="",F5=""),"EKSİK VERİ",IF(OR(F5&lt;0,H5&lt;0),"VERİ KONTROL",IF(G5="",IF(TODAY()&gt;E5,"GECİKİYOR","PLANLI"),IF(H5="","MİKTAR EKSİK",IF(OR(G5&gt;E5,H5&lt;F5),"GECİKME / EKSİK",IF(H5&gt;F5,"FAZLA MİKTAR","ZAMANINDA")))))))</f>
      </c>
    </row>
    <row r="6" ht="18" customHeight="1">
      <c r="A6" s="3" t="n"/>
      <c r="B6" s="3" t="n"/>
      <c r="C6" s="3" t="n"/>
      <c r="D6" s="3" t="n"/>
      <c r="E6" s="4" t="n"/>
      <c r="F6" s="5" t="n"/>
      <c r="G6" s="3" t="n"/>
      <c r="H6" s="5" t="n"/>
      <c r="I6" s="13">
        <f>IF(COUNT(F6,H6)&lt;2,"",H6-F6)</f>
      </c>
      <c r="J6" s="14">
        <f>IF(E6="","",IF(G6="",MAX(0,TODAY()-E6),MAX(0,G6-E6)))</f>
      </c>
      <c r="K6" s="15">
        <f>IF(COUNTA(A6:H6)=0,"",IF(OR(E6="",F6=""),"EKSİK VERİ",IF(OR(F6&lt;0,H6&lt;0),"VERİ KONTROL",IF(G6="",IF(TODAY()&gt;E6,"GECİKİYOR","PLANLI"),IF(H6="","MİKTAR EKSİK",IF(OR(G6&gt;E6,H6&lt;F6),"GECİKME / EKSİK",IF(H6&gt;F6,"FAZLA MİKTAR","ZAMANINDA")))))))</f>
      </c>
    </row>
    <row r="7" ht="18" customHeight="1">
      <c r="A7" s="3" t="n"/>
      <c r="B7" s="3" t="n"/>
      <c r="C7" s="3" t="n"/>
      <c r="D7" s="3" t="n"/>
      <c r="E7" s="4" t="n"/>
      <c r="F7" s="5" t="n"/>
      <c r="G7" s="4" t="n"/>
      <c r="H7" s="5" t="n"/>
      <c r="I7" s="13">
        <f>IF(COUNT(F7,H7)&lt;2,"",H7-F7)</f>
      </c>
      <c r="J7" s="14">
        <f>IF(E7="","",IF(G7="",MAX(0,TODAY()-E7),MAX(0,G7-E7)))</f>
      </c>
      <c r="K7" s="15">
        <f>IF(COUNTA(A7:H7)=0,"",IF(OR(E7="",F7=""),"EKSİK VERİ",IF(OR(F7&lt;0,H7&lt;0),"VERİ KONTROL",IF(G7="",IF(TODAY()&gt;E7,"GECİKİYOR","PLANLI"),IF(H7="","MİKTAR EKSİK",IF(OR(G7&gt;E7,H7&lt;F7),"GECİKME / EKSİK",IF(H7&gt;F7,"FAZLA MİKTAR","ZAMANINDA")))))))</f>
      </c>
    </row>
    <row r="8" ht="18" customHeight="1">
      <c r="A8" s="3" t="n"/>
      <c r="B8" s="3" t="n"/>
      <c r="C8" s="3" t="n"/>
      <c r="D8" s="3" t="n"/>
      <c r="E8" s="4" t="n"/>
      <c r="F8" s="5" t="n"/>
      <c r="G8" s="3" t="n"/>
      <c r="H8" s="5" t="n"/>
      <c r="I8" s="13">
        <f>IF(COUNT(F8,H8)&lt;2,"",H8-F8)</f>
      </c>
      <c r="J8" s="14">
        <f>IF(E8="","",IF(G8="",MAX(0,TODAY()-E8),MAX(0,G8-E8)))</f>
      </c>
      <c r="K8" s="15">
        <f>IF(COUNTA(A8:H8)=0,"",IF(OR(E8="",F8=""),"EKSİK VERİ",IF(OR(F8&lt;0,H8&lt;0),"VERİ KONTROL",IF(G8="",IF(TODAY()&gt;E8,"GECİKİYOR","PLANLI"),IF(H8="","MİKTAR EKSİK",IF(OR(G8&gt;E8,H8&lt;F8),"GECİKME / EKSİK",IF(H8&gt;F8,"FAZLA MİKTAR","ZAMANINDA")))))))</f>
      </c>
    </row>
  </sheetData>
  <mergeCells count="2">
    <mergeCell ref="A1:M1"/>
    <mergeCell ref="A2:M2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&amp;L&amp;"Arial,Bold"&amp;11EKG-LOJ-MTR-05&amp;C&amp;"Arial,Regular"&amp;11Teslimat Takip ve Gelen Malzeme Alarm Matrisi</oddHeader>
    <oddFooter>&amp;L&amp;"Arial,Regular"&amp;11İlk Yayın: 03.06.2026 | Revizyon: 07.09.2026
Revizyon nedeni: Teslimat formülleri eksik ve geçersiz girdilere göre düzeltildi; varış ve aksiyon alanları eklendi.&amp;R&amp;11Sayfa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5" customWidth="1" min="4" max="4"/>
    <col width="18" customWidth="1" min="5" max="5"/>
    <col width="28" customWidth="1" min="6" max="6"/>
    <col width="26" customWidth="1" min="7" max="7"/>
    <col width="27" customWidth="1" min="8" max="8"/>
    <col width="38" customWidth="1" min="9" max="9"/>
    <col min="10" max="10" width="9.232" customWidth="1"/>
    <col min="11" max="11" width="9.232" customWidth="1"/>
  </cols>
  <sheetData>
    <row r="1" ht="35" customHeight="1">
      <c r="A1" s="11" t="inlineStr">
        <is>
          <t>GELEN MALZEME ALARM MATRİSİ (RISK MATRIX)</t>
        </is>
      </c>
    </row>
    <row r="2" ht="19" customHeight="1">
      <c r="A2" t="inlineStr">
        <is>
          <t xml:space="preserve">Kullanılabilir stok esas alınır; bloke stok dışarıda tutulur. Transit miktar teyitli varış olmadan mevcut stoğa eklenmez.</t>
        </is>
      </c>
    </row>
    <row r="3" ht="78" customHeight="1">
      <c r="A3" s="12" t="inlineStr">
        <is>
          <t>Malzeme Kodu</t>
        </is>
      </c>
      <c r="B3" s="12" t="inlineStr">
        <is>
          <t>Malzeme Adı</t>
        </is>
      </c>
      <c r="C3" s="12" t="inlineStr">
        <is>
          <t>Kritiklik Seviyesi</t>
        </is>
      </c>
      <c r="D3" s="12" t="inlineStr">
        <is>
          <t xml:space="preserve">Kullanılabilir stok</t>
        </is>
      </c>
      <c r="E3" s="12" t="inlineStr">
        <is>
          <t>Günlük Tüketim</t>
        </is>
      </c>
      <c r="F3" s="12" t="inlineStr">
        <is>
          <t>Stok Koruma Süresi (Gün)</t>
        </is>
      </c>
      <c r="G3" s="12" t="inlineStr">
        <is>
          <t>Transit Miktar (Yolda)</t>
        </is>
      </c>
      <c r="H3" s="12" t="inlineStr">
        <is>
          <t>Kök Neden / Risk</t>
        </is>
      </c>
      <c r="I3" s="12" t="inlineStr">
        <is>
          <t>Düzeltici Aksiyon</t>
        </is>
      </c>
      <c r="J3" t="inlineStr">
        <is>
          <t xml:space="preserve">Teyitli varış tarihi / miktarı</t>
        </is>
      </c>
      <c r="K3" t="inlineStr">
        <is>
          <t xml:space="preserve">Aksiyon sahibi / termin</t>
        </is>
      </c>
    </row>
    <row r="4" ht="18" customHeight="1">
      <c r="A4" s="3" t="n"/>
      <c r="B4" s="3" t="n"/>
      <c r="C4" s="3" t="n"/>
      <c r="D4" s="5" t="n"/>
      <c r="E4" s="5" t="n"/>
      <c r="F4" s="16">
        <f>IF(COUNT(D4:E4)&lt;2,"",IF(OR(D4&lt;0,E4&lt;=0),"VERİ KONTROL",D4/E4))</f>
      </c>
      <c r="G4" s="10" t="n"/>
      <c r="H4" s="3" t="n"/>
      <c r="I4" s="3" t="n"/>
    </row>
    <row r="5" ht="18" customHeight="1">
      <c r="A5" s="3" t="n"/>
      <c r="B5" s="3" t="n"/>
      <c r="C5" s="3" t="n"/>
      <c r="D5" s="5" t="n"/>
      <c r="E5" s="5" t="n"/>
      <c r="F5" s="16">
        <f>IF(COUNT(D5:E5)&lt;2,"",IF(OR(D5&lt;0,E5&lt;=0),"VERİ KONTROL",D5/E5))</f>
      </c>
      <c r="G5" s="10" t="n"/>
      <c r="H5" s="3" t="n"/>
      <c r="I5" s="3" t="n"/>
    </row>
    <row r="6" ht="18" customHeight="1">
      <c r="A6" s="3" t="n"/>
      <c r="B6" s="3" t="n"/>
      <c r="C6" s="3" t="n"/>
      <c r="D6" s="5" t="n"/>
      <c r="E6" s="5" t="n"/>
      <c r="F6" s="16">
        <f>IF(COUNT(D6:E6)&lt;2,"",IF(OR(D6&lt;0,E6&lt;=0),"VERİ KONTROL",D6/E6))</f>
      </c>
      <c r="G6" s="10" t="n"/>
      <c r="H6" s="3" t="n"/>
      <c r="I6" s="3" t="n"/>
    </row>
    <row r="7" ht="18" customHeight="1">
      <c r="A7" s="3" t="n"/>
      <c r="B7" s="3" t="n"/>
      <c r="C7" s="3" t="n"/>
      <c r="D7" s="5" t="n"/>
      <c r="E7" s="5" t="n"/>
      <c r="F7" s="16">
        <f>IF(COUNT(D7:E7)&lt;2,"",IF(OR(D7&lt;0,E7&lt;=0),"VERİ KONTROL",D7/E7))</f>
      </c>
      <c r="G7" s="10" t="n"/>
      <c r="H7" s="3" t="n"/>
      <c r="I7" s="3" t="n"/>
    </row>
  </sheetData>
  <mergeCells count="2">
    <mergeCell ref="A1:K1"/>
    <mergeCell ref="A2:K2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&amp;L&amp;"Arial,Bold"&amp;11EKG-LOJ-MTR-05&amp;C&amp;"Arial,Regular"&amp;11Teslimat Takip ve Gelen Malzeme Alarm Matrisi</oddHeader>
    <oddFooter>&amp;L&amp;"Arial,Regular"&amp;11İlk Yayın: 03.06.2026 | Revizyon: 07.09.2026
Revizyon nedeni: Teslimat formülleri eksik ve geçersiz girdilere göre düzeltildi; varış ve aksiyon alanları eklendi.&amp;R&amp;11Sayfa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2026-06-03T09:00:00Z</dcterms:created>
  <dcterms:modified xmlns:dcterms="http://purl.org/dc/terms/" xmlns:xsi="http://www.w3.org/2001/XMLSchema-instance" xsi:type="dcterms:W3CDTF">2026-10-19T09:00:00Z</dcterms:modified>
</cp:coreProperties>
</file>